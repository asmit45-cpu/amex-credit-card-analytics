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ecutive Summary" sheetId="1" state="visible" r:id="rId3"/>
    <sheet name="Data" sheetId="2" state="visible" r:id="rId4"/>
    <sheet name="Portfolio Performance" sheetId="3" state="visible" r:id="rId5"/>
    <sheet name="Fraud Risk Summary" sheetId="4" state="visible" r:id="rId6"/>
    <sheet name="Churn Risk Register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<sst xmlns="http://schemas.openxmlformats.org/spreadsheetml/2006/main" count="4662" uniqueCount="1582">
  <si>
    <t xml:space="preserve">AmEx Credit Card Customer Analytics - Fraud Risk, Churn &amp; Spend Behaviour</t>
  </si>
  <si>
    <t xml:space="preserve">SQL + Python (Machine Learning) + Excel + Power BI | 1,500 customers | 24 months spend history | 60,000 transactions</t>
  </si>
  <si>
    <t xml:space="preserve">Business Problem</t>
  </si>
  <si>
    <t xml:space="preserve">A credit-card issuer needs to: (1) understand its portfolio mix and spend behaviour across card tiers and merchant categories, (2) flag fraudulent transactions in real time without over-blocking genuine customers, and (3) identify customers at risk of reducing card usage early enough for the retention team to act.</t>
  </si>
  <si>
    <t xml:space="preserve">Approach</t>
  </si>
  <si>
    <t xml:space="preserve">•  SQL (SQLite): 7 business queries - customer segmentation, Pareto/RFM-style analysis, fraud-rate breakdowns, window functions</t>
  </si>
  <si>
    <t xml:space="preserve">•  Python (pandas): data cleaning, feature engineering, seasonality analysis</t>
  </si>
  <si>
    <t xml:space="preserve">•  Python (scikit-learn): Random Forest fraud-detection classifier (with precision/recall threshold tuning for class imbalance) and Random Forest churn-risk classifier</t>
  </si>
  <si>
    <t xml:space="preserve">•  Excel: this dashboard - summary sheets use live formulas (SUMIF/COUNTIF/AVERAGEIF) against the Data sheet, not hardcoded numbers</t>
  </si>
  <si>
    <t xml:space="preserve">•  Power BI: interactive drill-down report (data model + DAX measures provided - see companion build guide)</t>
  </si>
  <si>
    <t xml:space="preserve">Key Findings</t>
  </si>
  <si>
    <t xml:space="preserve">Portfolio</t>
  </si>
  <si>
    <t xml:space="preserve">Centurion cardholders are only ~6% of customers but average several times a Green cardholder in lifetime spend - confirming the top-tier segment as the highest-value group.</t>
  </si>
  <si>
    <t xml:space="preserve">Spend Mix</t>
  </si>
  <si>
    <t xml:space="preserve">Travel and Online Shopping together drive over 40% of total portfolio spend - the two categories most worth prioritising for rewards/cashback partnerships.</t>
  </si>
  <si>
    <t xml:space="preserve">Fraud</t>
  </si>
  <si>
    <t xml:space="preserve">Fraud rate is similar across merchant categories (about 1.0-1.4%), so category alone is a weak signal; fraud concentrates at 1-4 AM and in high-amount, far-from-home transactions, and the model catches most fraud value at a tuned threshold on the test set.</t>
  </si>
  <si>
    <t xml:space="preserve">Churn Risk</t>
  </si>
  <si>
    <t xml:space="preserve">180 customers (12% of the portfolio) are flagged high-risk by the churn model, representing a significant share of annualised spend at risk.</t>
  </si>
  <si>
    <t xml:space="preserve">Model Note</t>
  </si>
  <si>
    <t xml:space="preserve">Both ML models show very clean separation on this synthetic dataset (near-perfect test scores) - a known limitation flagged in the README; production data would need re-validation with noisier, real-world signal.</t>
  </si>
  <si>
    <t xml:space="preserve">Business Recommendation</t>
  </si>
  <si>
    <t xml:space="preserve">Deploy the fraud model at the tuned threshold for real-time transaction scoring, with step-up verification for late-night, high-amount and far-from-home transactions, the strongest fraud signals. Launch a retention program for the flagged churn-risk customers (priority to Platinum/Centurion tiers given their high lifetime value) - even a partial save-rate protects meaningful annual interchange/interest revenue from this cohort.</t>
  </si>
  <si>
    <t xml:space="preserve">Supporting Data (referenced by formulas on other sheets)</t>
  </si>
  <si>
    <t xml:space="preserve">Customer Summary (24-month total spend per customer)</t>
  </si>
  <si>
    <t xml:space="preserve">Fraud by Merchant Category</t>
  </si>
  <si>
    <t xml:space="preserve">customer_id</t>
  </si>
  <si>
    <t xml:space="preserve">card_type</t>
  </si>
  <si>
    <t xml:space="preserve">city</t>
  </si>
  <si>
    <t xml:space="preserve">tenure_months</t>
  </si>
  <si>
    <t xml:space="preserve">total_spend</t>
  </si>
  <si>
    <t xml:space="preserve">merchant_category</t>
  </si>
  <si>
    <t xml:space="preserve">total</t>
  </si>
  <si>
    <t xml:space="preserve">frauds</t>
  </si>
  <si>
    <t xml:space="preserve">rate</t>
  </si>
  <si>
    <t xml:space="preserve">CUST00001</t>
  </si>
  <si>
    <t xml:space="preserve">Green</t>
  </si>
  <si>
    <t xml:space="preserve">Chandigarh</t>
  </si>
  <si>
    <t xml:space="preserve">Dining</t>
  </si>
  <si>
    <t xml:space="preserve">CUST00002</t>
  </si>
  <si>
    <t xml:space="preserve">Platinum</t>
  </si>
  <si>
    <t xml:space="preserve">Hyderabad</t>
  </si>
  <si>
    <t xml:space="preserve">Electronics</t>
  </si>
  <si>
    <t xml:space="preserve">CUST00003</t>
  </si>
  <si>
    <t xml:space="preserve">Delhi</t>
  </si>
  <si>
    <t xml:space="preserve">Entertainment</t>
  </si>
  <si>
    <t xml:space="preserve">CUST00004</t>
  </si>
  <si>
    <t xml:space="preserve">Fuel</t>
  </si>
  <si>
    <t xml:space="preserve">CUST00005</t>
  </si>
  <si>
    <t xml:space="preserve">Gold</t>
  </si>
  <si>
    <t xml:space="preserve">Kolkata</t>
  </si>
  <si>
    <t xml:space="preserve">Grocery</t>
  </si>
  <si>
    <t xml:space="preserve">CUST00006</t>
  </si>
  <si>
    <t xml:space="preserve">Mumbai</t>
  </si>
  <si>
    <t xml:space="preserve">Healthcare</t>
  </si>
  <si>
    <t xml:space="preserve">CUST00007</t>
  </si>
  <si>
    <t xml:space="preserve">Jewellery</t>
  </si>
  <si>
    <t xml:space="preserve">CUST00008</t>
  </si>
  <si>
    <t xml:space="preserve">Online Shopping</t>
  </si>
  <si>
    <t xml:space="preserve">CUST00009</t>
  </si>
  <si>
    <t xml:space="preserve">Travel</t>
  </si>
  <si>
    <t xml:space="preserve">CUST00010</t>
  </si>
  <si>
    <t xml:space="preserve">Utilities</t>
  </si>
  <si>
    <t xml:space="preserve">CUST00011</t>
  </si>
  <si>
    <t xml:space="preserve">Bengaluru</t>
  </si>
  <si>
    <t xml:space="preserve">CUST00012</t>
  </si>
  <si>
    <t xml:space="preserve">Centurion</t>
  </si>
  <si>
    <t xml:space="preserve">CUST00013</t>
  </si>
  <si>
    <t xml:space="preserve">Pune</t>
  </si>
  <si>
    <t xml:space="preserve">CUST00014</t>
  </si>
  <si>
    <t xml:space="preserve">CUST00015</t>
  </si>
  <si>
    <t xml:space="preserve">CUST00016</t>
  </si>
  <si>
    <t xml:space="preserve">CUST00017</t>
  </si>
  <si>
    <t xml:space="preserve">CUST00018</t>
  </si>
  <si>
    <t xml:space="preserve">CUST00019</t>
  </si>
  <si>
    <t xml:space="preserve">CUST00020</t>
  </si>
  <si>
    <t xml:space="preserve">Jaipur</t>
  </si>
  <si>
    <t xml:space="preserve">CUST00021</t>
  </si>
  <si>
    <t xml:space="preserve">CUST00022</t>
  </si>
  <si>
    <t xml:space="preserve">CUST00023</t>
  </si>
  <si>
    <t xml:space="preserve">CUST00024</t>
  </si>
  <si>
    <t xml:space="preserve">Chennai</t>
  </si>
  <si>
    <t xml:space="preserve">CUST00025</t>
  </si>
  <si>
    <t xml:space="preserve">CUST00026</t>
  </si>
  <si>
    <t xml:space="preserve">CUST00027</t>
  </si>
  <si>
    <t xml:space="preserve">CUST00028</t>
  </si>
  <si>
    <t xml:space="preserve">CUST00029</t>
  </si>
  <si>
    <t xml:space="preserve">CUST00030</t>
  </si>
  <si>
    <t xml:space="preserve">CUST00031</t>
  </si>
  <si>
    <t xml:space="preserve">Ahmedabad</t>
  </si>
  <si>
    <t xml:space="preserve">CUST00032</t>
  </si>
  <si>
    <t xml:space="preserve">CUST00033</t>
  </si>
  <si>
    <t xml:space="preserve">CUST00034</t>
  </si>
  <si>
    <t xml:space="preserve">CUST00035</t>
  </si>
  <si>
    <t xml:space="preserve">CUST00036</t>
  </si>
  <si>
    <t xml:space="preserve">CUST00037</t>
  </si>
  <si>
    <t xml:space="preserve">CUST00038</t>
  </si>
  <si>
    <t xml:space="preserve">CUST00039</t>
  </si>
  <si>
    <t xml:space="preserve">CUST00040</t>
  </si>
  <si>
    <t xml:space="preserve">CUST00041</t>
  </si>
  <si>
    <t xml:space="preserve">CUST00042</t>
  </si>
  <si>
    <t xml:space="preserve">CUST00043</t>
  </si>
  <si>
    <t xml:space="preserve">CUST00044</t>
  </si>
  <si>
    <t xml:space="preserve">CUST00045</t>
  </si>
  <si>
    <t xml:space="preserve">CUST00046</t>
  </si>
  <si>
    <t xml:space="preserve">CUST00047</t>
  </si>
  <si>
    <t xml:space="preserve">CUST00048</t>
  </si>
  <si>
    <t xml:space="preserve">CUST00049</t>
  </si>
  <si>
    <t xml:space="preserve">CUST00050</t>
  </si>
  <si>
    <t xml:space="preserve">CUST00051</t>
  </si>
  <si>
    <t xml:space="preserve">CUST00052</t>
  </si>
  <si>
    <t xml:space="preserve">CUST00053</t>
  </si>
  <si>
    <t xml:space="preserve">CUST00054</t>
  </si>
  <si>
    <t xml:space="preserve">CUST00055</t>
  </si>
  <si>
    <t xml:space="preserve">CUST00056</t>
  </si>
  <si>
    <t xml:space="preserve">CUST00057</t>
  </si>
  <si>
    <t xml:space="preserve">CUST00058</t>
  </si>
  <si>
    <t xml:space="preserve">CUST00059</t>
  </si>
  <si>
    <t xml:space="preserve">CUST00060</t>
  </si>
  <si>
    <t xml:space="preserve">CUST00061</t>
  </si>
  <si>
    <t xml:space="preserve">CUST00062</t>
  </si>
  <si>
    <t xml:space="preserve">CUST00063</t>
  </si>
  <si>
    <t xml:space="preserve">CUST00064</t>
  </si>
  <si>
    <t xml:space="preserve">CUST00065</t>
  </si>
  <si>
    <t xml:space="preserve">CUST00066</t>
  </si>
  <si>
    <t xml:space="preserve">CUST00067</t>
  </si>
  <si>
    <t xml:space="preserve">CUST00068</t>
  </si>
  <si>
    <t xml:space="preserve">CUST00069</t>
  </si>
  <si>
    <t xml:space="preserve">CUST00070</t>
  </si>
  <si>
    <t xml:space="preserve">CUST00071</t>
  </si>
  <si>
    <t xml:space="preserve">CUST00072</t>
  </si>
  <si>
    <t xml:space="preserve">CUST00073</t>
  </si>
  <si>
    <t xml:space="preserve">CUST00074</t>
  </si>
  <si>
    <t xml:space="preserve">CUST00075</t>
  </si>
  <si>
    <t xml:space="preserve">CUST00076</t>
  </si>
  <si>
    <t xml:space="preserve">CUST00077</t>
  </si>
  <si>
    <t xml:space="preserve">CUST00078</t>
  </si>
  <si>
    <t xml:space="preserve">CUST00079</t>
  </si>
  <si>
    <t xml:space="preserve">CUST00080</t>
  </si>
  <si>
    <t xml:space="preserve">CUST00081</t>
  </si>
  <si>
    <t xml:space="preserve">CUST00082</t>
  </si>
  <si>
    <t xml:space="preserve">CUST00083</t>
  </si>
  <si>
    <t xml:space="preserve">CUST00084</t>
  </si>
  <si>
    <t xml:space="preserve">CUST00085</t>
  </si>
  <si>
    <t xml:space="preserve">CUST00086</t>
  </si>
  <si>
    <t xml:space="preserve">CUST00087</t>
  </si>
  <si>
    <t xml:space="preserve">CUST00088</t>
  </si>
  <si>
    <t xml:space="preserve">CUST00089</t>
  </si>
  <si>
    <t xml:space="preserve">CUST00090</t>
  </si>
  <si>
    <t xml:space="preserve">CUST00091</t>
  </si>
  <si>
    <t xml:space="preserve">CUST00092</t>
  </si>
  <si>
    <t xml:space="preserve">CUST00093</t>
  </si>
  <si>
    <t xml:space="preserve">CUST00094</t>
  </si>
  <si>
    <t xml:space="preserve">CUST00095</t>
  </si>
  <si>
    <t xml:space="preserve">CUST00096</t>
  </si>
  <si>
    <t xml:space="preserve">CUST00097</t>
  </si>
  <si>
    <t xml:space="preserve">CUST00098</t>
  </si>
  <si>
    <t xml:space="preserve">CUST00099</t>
  </si>
  <si>
    <t xml:space="preserve">CUST00100</t>
  </si>
  <si>
    <t xml:space="preserve">CUST00101</t>
  </si>
  <si>
    <t xml:space="preserve">CUST00102</t>
  </si>
  <si>
    <t xml:space="preserve">CUST00103</t>
  </si>
  <si>
    <t xml:space="preserve">CUST00104</t>
  </si>
  <si>
    <t xml:space="preserve">CUST00105</t>
  </si>
  <si>
    <t xml:space="preserve">CUST00106</t>
  </si>
  <si>
    <t xml:space="preserve">CUST00107</t>
  </si>
  <si>
    <t xml:space="preserve">CUST00108</t>
  </si>
  <si>
    <t xml:space="preserve">CUST00109</t>
  </si>
  <si>
    <t xml:space="preserve">CUST00110</t>
  </si>
  <si>
    <t xml:space="preserve">CUST00111</t>
  </si>
  <si>
    <t xml:space="preserve">CUST00112</t>
  </si>
  <si>
    <t xml:space="preserve">CUST00113</t>
  </si>
  <si>
    <t xml:space="preserve">CUST00114</t>
  </si>
  <si>
    <t xml:space="preserve">CUST00115</t>
  </si>
  <si>
    <t xml:space="preserve">CUST00116</t>
  </si>
  <si>
    <t xml:space="preserve">CUST00117</t>
  </si>
  <si>
    <t xml:space="preserve">CUST00118</t>
  </si>
  <si>
    <t xml:space="preserve">CUST00119</t>
  </si>
  <si>
    <t xml:space="preserve">CUST00120</t>
  </si>
  <si>
    <t xml:space="preserve">CUST00121</t>
  </si>
  <si>
    <t xml:space="preserve">CUST00122</t>
  </si>
  <si>
    <t xml:space="preserve">CUST00123</t>
  </si>
  <si>
    <t xml:space="preserve">CUST00124</t>
  </si>
  <si>
    <t xml:space="preserve">CUST00125</t>
  </si>
  <si>
    <t xml:space="preserve">CUST00126</t>
  </si>
  <si>
    <t xml:space="preserve">CUST00127</t>
  </si>
  <si>
    <t xml:space="preserve">CUST00128</t>
  </si>
  <si>
    <t xml:space="preserve">CUST00129</t>
  </si>
  <si>
    <t xml:space="preserve">CUST00130</t>
  </si>
  <si>
    <t xml:space="preserve">CUST00131</t>
  </si>
  <si>
    <t xml:space="preserve">CUST00132</t>
  </si>
  <si>
    <t xml:space="preserve">CUST00133</t>
  </si>
  <si>
    <t xml:space="preserve">CUST00134</t>
  </si>
  <si>
    <t xml:space="preserve">CUST00135</t>
  </si>
  <si>
    <t xml:space="preserve">CUST00136</t>
  </si>
  <si>
    <t xml:space="preserve">CUST00137</t>
  </si>
  <si>
    <t xml:space="preserve">CUST00138</t>
  </si>
  <si>
    <t xml:space="preserve">CUST00139</t>
  </si>
  <si>
    <t xml:space="preserve">CUST00140</t>
  </si>
  <si>
    <t xml:space="preserve">CUST00141</t>
  </si>
  <si>
    <t xml:space="preserve">CUST00142</t>
  </si>
  <si>
    <t xml:space="preserve">CUST00143</t>
  </si>
  <si>
    <t xml:space="preserve">CUST00144</t>
  </si>
  <si>
    <t xml:space="preserve">CUST00145</t>
  </si>
  <si>
    <t xml:space="preserve">CUST00146</t>
  </si>
  <si>
    <t xml:space="preserve">CUST00147</t>
  </si>
  <si>
    <t xml:space="preserve">CUST00148</t>
  </si>
  <si>
    <t xml:space="preserve">CUST00149</t>
  </si>
  <si>
    <t xml:space="preserve">CUST00150</t>
  </si>
  <si>
    <t xml:space="preserve">CUST00151</t>
  </si>
  <si>
    <t xml:space="preserve">CUST00152</t>
  </si>
  <si>
    <t xml:space="preserve">CUST00153</t>
  </si>
  <si>
    <t xml:space="preserve">CUST00154</t>
  </si>
  <si>
    <t xml:space="preserve">CUST00155</t>
  </si>
  <si>
    <t xml:space="preserve">CUST00156</t>
  </si>
  <si>
    <t xml:space="preserve">CUST00157</t>
  </si>
  <si>
    <t xml:space="preserve">CUST00158</t>
  </si>
  <si>
    <t xml:space="preserve">CUST00159</t>
  </si>
  <si>
    <t xml:space="preserve">CUST00160</t>
  </si>
  <si>
    <t xml:space="preserve">CUST00161</t>
  </si>
  <si>
    <t xml:space="preserve">CUST00162</t>
  </si>
  <si>
    <t xml:space="preserve">CUST00163</t>
  </si>
  <si>
    <t xml:space="preserve">CUST00164</t>
  </si>
  <si>
    <t xml:space="preserve">CUST00165</t>
  </si>
  <si>
    <t xml:space="preserve">CUST00166</t>
  </si>
  <si>
    <t xml:space="preserve">CUST00167</t>
  </si>
  <si>
    <t xml:space="preserve">CUST00168</t>
  </si>
  <si>
    <t xml:space="preserve">CUST00169</t>
  </si>
  <si>
    <t xml:space="preserve">CUST00170</t>
  </si>
  <si>
    <t xml:space="preserve">CUST00171</t>
  </si>
  <si>
    <t xml:space="preserve">CUST00172</t>
  </si>
  <si>
    <t xml:space="preserve">CUST00173</t>
  </si>
  <si>
    <t xml:space="preserve">CUST00174</t>
  </si>
  <si>
    <t xml:space="preserve">CUST00175</t>
  </si>
  <si>
    <t xml:space="preserve">CUST00176</t>
  </si>
  <si>
    <t xml:space="preserve">CUST00177</t>
  </si>
  <si>
    <t xml:space="preserve">CUST00178</t>
  </si>
  <si>
    <t xml:space="preserve">CUST00179</t>
  </si>
  <si>
    <t xml:space="preserve">CUST00180</t>
  </si>
  <si>
    <t xml:space="preserve">CUST00181</t>
  </si>
  <si>
    <t xml:space="preserve">CUST00182</t>
  </si>
  <si>
    <t xml:space="preserve">CUST00183</t>
  </si>
  <si>
    <t xml:space="preserve">CUST00184</t>
  </si>
  <si>
    <t xml:space="preserve">CUST00185</t>
  </si>
  <si>
    <t xml:space="preserve">CUST00186</t>
  </si>
  <si>
    <t xml:space="preserve">CUST00187</t>
  </si>
  <si>
    <t xml:space="preserve">CUST00188</t>
  </si>
  <si>
    <t xml:space="preserve">CUST00189</t>
  </si>
  <si>
    <t xml:space="preserve">CUST00190</t>
  </si>
  <si>
    <t xml:space="preserve">CUST00191</t>
  </si>
  <si>
    <t xml:space="preserve">CUST00192</t>
  </si>
  <si>
    <t xml:space="preserve">CUST00193</t>
  </si>
  <si>
    <t xml:space="preserve">CUST00194</t>
  </si>
  <si>
    <t xml:space="preserve">CUST00195</t>
  </si>
  <si>
    <t xml:space="preserve">CUST00196</t>
  </si>
  <si>
    <t xml:space="preserve">CUST00197</t>
  </si>
  <si>
    <t xml:space="preserve">CUST00198</t>
  </si>
  <si>
    <t xml:space="preserve">CUST00199</t>
  </si>
  <si>
    <t xml:space="preserve">CUST00200</t>
  </si>
  <si>
    <t xml:space="preserve">CUST00201</t>
  </si>
  <si>
    <t xml:space="preserve">CUST00202</t>
  </si>
  <si>
    <t xml:space="preserve">CUST00203</t>
  </si>
  <si>
    <t xml:space="preserve">CUST00204</t>
  </si>
  <si>
    <t xml:space="preserve">CUST00205</t>
  </si>
  <si>
    <t xml:space="preserve">CUST00206</t>
  </si>
  <si>
    <t xml:space="preserve">CUST00207</t>
  </si>
  <si>
    <t xml:space="preserve">CUST00208</t>
  </si>
  <si>
    <t xml:space="preserve">CUST00209</t>
  </si>
  <si>
    <t xml:space="preserve">CUST00210</t>
  </si>
  <si>
    <t xml:space="preserve">CUST00211</t>
  </si>
  <si>
    <t xml:space="preserve">CUST00212</t>
  </si>
  <si>
    <t xml:space="preserve">CUST00213</t>
  </si>
  <si>
    <t xml:space="preserve">CUST00214</t>
  </si>
  <si>
    <t xml:space="preserve">CUST00215</t>
  </si>
  <si>
    <t xml:space="preserve">CUST00216</t>
  </si>
  <si>
    <t xml:space="preserve">CUST00217</t>
  </si>
  <si>
    <t xml:space="preserve">CUST00218</t>
  </si>
  <si>
    <t xml:space="preserve">CUST00219</t>
  </si>
  <si>
    <t xml:space="preserve">CUST00220</t>
  </si>
  <si>
    <t xml:space="preserve">CUST00221</t>
  </si>
  <si>
    <t xml:space="preserve">CUST00222</t>
  </si>
  <si>
    <t xml:space="preserve">CUST00223</t>
  </si>
  <si>
    <t xml:space="preserve">CUST00224</t>
  </si>
  <si>
    <t xml:space="preserve">CUST00225</t>
  </si>
  <si>
    <t xml:space="preserve">CUST00226</t>
  </si>
  <si>
    <t xml:space="preserve">CUST00227</t>
  </si>
  <si>
    <t xml:space="preserve">CUST00228</t>
  </si>
  <si>
    <t xml:space="preserve">CUST00229</t>
  </si>
  <si>
    <t xml:space="preserve">CUST00230</t>
  </si>
  <si>
    <t xml:space="preserve">CUST00231</t>
  </si>
  <si>
    <t xml:space="preserve">CUST00232</t>
  </si>
  <si>
    <t xml:space="preserve">CUST00233</t>
  </si>
  <si>
    <t xml:space="preserve">CUST00234</t>
  </si>
  <si>
    <t xml:space="preserve">CUST00235</t>
  </si>
  <si>
    <t xml:space="preserve">CUST00236</t>
  </si>
  <si>
    <t xml:space="preserve">CUST00237</t>
  </si>
  <si>
    <t xml:space="preserve">CUST00238</t>
  </si>
  <si>
    <t xml:space="preserve">CUST00239</t>
  </si>
  <si>
    <t xml:space="preserve">CUST00240</t>
  </si>
  <si>
    <t xml:space="preserve">CUST00241</t>
  </si>
  <si>
    <t xml:space="preserve">CUST00242</t>
  </si>
  <si>
    <t xml:space="preserve">CUST00243</t>
  </si>
  <si>
    <t xml:space="preserve">CUST00244</t>
  </si>
  <si>
    <t xml:space="preserve">CUST00245</t>
  </si>
  <si>
    <t xml:space="preserve">CUST00246</t>
  </si>
  <si>
    <t xml:space="preserve">CUST00247</t>
  </si>
  <si>
    <t xml:space="preserve">CUST00248</t>
  </si>
  <si>
    <t xml:space="preserve">CUST00249</t>
  </si>
  <si>
    <t xml:space="preserve">CUST00250</t>
  </si>
  <si>
    <t xml:space="preserve">CUST00251</t>
  </si>
  <si>
    <t xml:space="preserve">CUST00252</t>
  </si>
  <si>
    <t xml:space="preserve">CUST00253</t>
  </si>
  <si>
    <t xml:space="preserve">CUST00254</t>
  </si>
  <si>
    <t xml:space="preserve">CUST00255</t>
  </si>
  <si>
    <t xml:space="preserve">CUST00256</t>
  </si>
  <si>
    <t xml:space="preserve">CUST00257</t>
  </si>
  <si>
    <t xml:space="preserve">CUST00258</t>
  </si>
  <si>
    <t xml:space="preserve">CUST00259</t>
  </si>
  <si>
    <t xml:space="preserve">CUST00260</t>
  </si>
  <si>
    <t xml:space="preserve">CUST00261</t>
  </si>
  <si>
    <t xml:space="preserve">CUST00262</t>
  </si>
  <si>
    <t xml:space="preserve">CUST00263</t>
  </si>
  <si>
    <t xml:space="preserve">CUST00264</t>
  </si>
  <si>
    <t xml:space="preserve">CUST00265</t>
  </si>
  <si>
    <t xml:space="preserve">CUST00266</t>
  </si>
  <si>
    <t xml:space="preserve">CUST00267</t>
  </si>
  <si>
    <t xml:space="preserve">CUST00268</t>
  </si>
  <si>
    <t xml:space="preserve">CUST00269</t>
  </si>
  <si>
    <t xml:space="preserve">CUST00270</t>
  </si>
  <si>
    <t xml:space="preserve">CUST00271</t>
  </si>
  <si>
    <t xml:space="preserve">CUST00272</t>
  </si>
  <si>
    <t xml:space="preserve">CUST00273</t>
  </si>
  <si>
    <t xml:space="preserve">CUST00274</t>
  </si>
  <si>
    <t xml:space="preserve">CUST00275</t>
  </si>
  <si>
    <t xml:space="preserve">CUST00276</t>
  </si>
  <si>
    <t xml:space="preserve">CUST00277</t>
  </si>
  <si>
    <t xml:space="preserve">CUST00278</t>
  </si>
  <si>
    <t xml:space="preserve">CUST00279</t>
  </si>
  <si>
    <t xml:space="preserve">CUST00280</t>
  </si>
  <si>
    <t xml:space="preserve">CUST00281</t>
  </si>
  <si>
    <t xml:space="preserve">CUST00282</t>
  </si>
  <si>
    <t xml:space="preserve">CUST00283</t>
  </si>
  <si>
    <t xml:space="preserve">CUST00284</t>
  </si>
  <si>
    <t xml:space="preserve">CUST00285</t>
  </si>
  <si>
    <t xml:space="preserve">CUST00286</t>
  </si>
  <si>
    <t xml:space="preserve">CUST00287</t>
  </si>
  <si>
    <t xml:space="preserve">CUST00288</t>
  </si>
  <si>
    <t xml:space="preserve">CUST00289</t>
  </si>
  <si>
    <t xml:space="preserve">CUST00290</t>
  </si>
  <si>
    <t xml:space="preserve">CUST00291</t>
  </si>
  <si>
    <t xml:space="preserve">CUST00292</t>
  </si>
  <si>
    <t xml:space="preserve">CUST00293</t>
  </si>
  <si>
    <t xml:space="preserve">CUST00294</t>
  </si>
  <si>
    <t xml:space="preserve">CUST00295</t>
  </si>
  <si>
    <t xml:space="preserve">CUST00296</t>
  </si>
  <si>
    <t xml:space="preserve">CUST00297</t>
  </si>
  <si>
    <t xml:space="preserve">CUST00298</t>
  </si>
  <si>
    <t xml:space="preserve">CUST00299</t>
  </si>
  <si>
    <t xml:space="preserve">CUST00300</t>
  </si>
  <si>
    <t xml:space="preserve">CUST00301</t>
  </si>
  <si>
    <t xml:space="preserve">CUST00302</t>
  </si>
  <si>
    <t xml:space="preserve">CUST00303</t>
  </si>
  <si>
    <t xml:space="preserve">CUST00304</t>
  </si>
  <si>
    <t xml:space="preserve">CUST00305</t>
  </si>
  <si>
    <t xml:space="preserve">CUST00306</t>
  </si>
  <si>
    <t xml:space="preserve">CUST00307</t>
  </si>
  <si>
    <t xml:space="preserve">CUST00308</t>
  </si>
  <si>
    <t xml:space="preserve">CUST00309</t>
  </si>
  <si>
    <t xml:space="preserve">CUST00310</t>
  </si>
  <si>
    <t xml:space="preserve">CUST00311</t>
  </si>
  <si>
    <t xml:space="preserve">CUST00312</t>
  </si>
  <si>
    <t xml:space="preserve">CUST00313</t>
  </si>
  <si>
    <t xml:space="preserve">CUST00314</t>
  </si>
  <si>
    <t xml:space="preserve">CUST00315</t>
  </si>
  <si>
    <t xml:space="preserve">CUST00316</t>
  </si>
  <si>
    <t xml:space="preserve">CUST00317</t>
  </si>
  <si>
    <t xml:space="preserve">CUST00318</t>
  </si>
  <si>
    <t xml:space="preserve">CUST00319</t>
  </si>
  <si>
    <t xml:space="preserve">CUST00320</t>
  </si>
  <si>
    <t xml:space="preserve">CUST00321</t>
  </si>
  <si>
    <t xml:space="preserve">CUST00322</t>
  </si>
  <si>
    <t xml:space="preserve">CUST00323</t>
  </si>
  <si>
    <t xml:space="preserve">CUST00324</t>
  </si>
  <si>
    <t xml:space="preserve">CUST00325</t>
  </si>
  <si>
    <t xml:space="preserve">CUST00326</t>
  </si>
  <si>
    <t xml:space="preserve">CUST00327</t>
  </si>
  <si>
    <t xml:space="preserve">CUST00328</t>
  </si>
  <si>
    <t xml:space="preserve">CUST00329</t>
  </si>
  <si>
    <t xml:space="preserve">CUST00330</t>
  </si>
  <si>
    <t xml:space="preserve">CUST00331</t>
  </si>
  <si>
    <t xml:space="preserve">CUST00332</t>
  </si>
  <si>
    <t xml:space="preserve">CUST00333</t>
  </si>
  <si>
    <t xml:space="preserve">CUST00334</t>
  </si>
  <si>
    <t xml:space="preserve">CUST00335</t>
  </si>
  <si>
    <t xml:space="preserve">CUST00336</t>
  </si>
  <si>
    <t xml:space="preserve">CUST00337</t>
  </si>
  <si>
    <t xml:space="preserve">CUST00338</t>
  </si>
  <si>
    <t xml:space="preserve">CUST00339</t>
  </si>
  <si>
    <t xml:space="preserve">CUST00340</t>
  </si>
  <si>
    <t xml:space="preserve">CUST00341</t>
  </si>
  <si>
    <t xml:space="preserve">CUST00342</t>
  </si>
  <si>
    <t xml:space="preserve">CUST00343</t>
  </si>
  <si>
    <t xml:space="preserve">CUST00344</t>
  </si>
  <si>
    <t xml:space="preserve">CUST00345</t>
  </si>
  <si>
    <t xml:space="preserve">CUST00346</t>
  </si>
  <si>
    <t xml:space="preserve">CUST00347</t>
  </si>
  <si>
    <t xml:space="preserve">CUST00348</t>
  </si>
  <si>
    <t xml:space="preserve">CUST00349</t>
  </si>
  <si>
    <t xml:space="preserve">CUST00350</t>
  </si>
  <si>
    <t xml:space="preserve">CUST00351</t>
  </si>
  <si>
    <t xml:space="preserve">CUST00352</t>
  </si>
  <si>
    <t xml:space="preserve">CUST00353</t>
  </si>
  <si>
    <t xml:space="preserve">CUST00354</t>
  </si>
  <si>
    <t xml:space="preserve">CUST00355</t>
  </si>
  <si>
    <t xml:space="preserve">CUST00356</t>
  </si>
  <si>
    <t xml:space="preserve">CUST00357</t>
  </si>
  <si>
    <t xml:space="preserve">CUST00358</t>
  </si>
  <si>
    <t xml:space="preserve">CUST00359</t>
  </si>
  <si>
    <t xml:space="preserve">CUST00360</t>
  </si>
  <si>
    <t xml:space="preserve">CUST00361</t>
  </si>
  <si>
    <t xml:space="preserve">CUST00362</t>
  </si>
  <si>
    <t xml:space="preserve">CUST00363</t>
  </si>
  <si>
    <t xml:space="preserve">CUST00364</t>
  </si>
  <si>
    <t xml:space="preserve">CUST00365</t>
  </si>
  <si>
    <t xml:space="preserve">CUST00366</t>
  </si>
  <si>
    <t xml:space="preserve">CUST00367</t>
  </si>
  <si>
    <t xml:space="preserve">CUST00368</t>
  </si>
  <si>
    <t xml:space="preserve">CUST00369</t>
  </si>
  <si>
    <t xml:space="preserve">CUST00370</t>
  </si>
  <si>
    <t xml:space="preserve">CUST00371</t>
  </si>
  <si>
    <t xml:space="preserve">CUST00372</t>
  </si>
  <si>
    <t xml:space="preserve">CUST00373</t>
  </si>
  <si>
    <t xml:space="preserve">CUST00374</t>
  </si>
  <si>
    <t xml:space="preserve">CUST00375</t>
  </si>
  <si>
    <t xml:space="preserve">CUST00376</t>
  </si>
  <si>
    <t xml:space="preserve">CUST00377</t>
  </si>
  <si>
    <t xml:space="preserve">CUST00378</t>
  </si>
  <si>
    <t xml:space="preserve">CUST00379</t>
  </si>
  <si>
    <t xml:space="preserve">CUST00380</t>
  </si>
  <si>
    <t xml:space="preserve">CUST00381</t>
  </si>
  <si>
    <t xml:space="preserve">CUST00382</t>
  </si>
  <si>
    <t xml:space="preserve">CUST00383</t>
  </si>
  <si>
    <t xml:space="preserve">CUST00384</t>
  </si>
  <si>
    <t xml:space="preserve">CUST00385</t>
  </si>
  <si>
    <t xml:space="preserve">CUST00386</t>
  </si>
  <si>
    <t xml:space="preserve">CUST00387</t>
  </si>
  <si>
    <t xml:space="preserve">CUST00388</t>
  </si>
  <si>
    <t xml:space="preserve">CUST00389</t>
  </si>
  <si>
    <t xml:space="preserve">CUST00390</t>
  </si>
  <si>
    <t xml:space="preserve">CUST00391</t>
  </si>
  <si>
    <t xml:space="preserve">CUST00392</t>
  </si>
  <si>
    <t xml:space="preserve">CUST00393</t>
  </si>
  <si>
    <t xml:space="preserve">CUST00394</t>
  </si>
  <si>
    <t xml:space="preserve">CUST00395</t>
  </si>
  <si>
    <t xml:space="preserve">CUST00396</t>
  </si>
  <si>
    <t xml:space="preserve">CUST00397</t>
  </si>
  <si>
    <t xml:space="preserve">CUST00398</t>
  </si>
  <si>
    <t xml:space="preserve">CUST00399</t>
  </si>
  <si>
    <t xml:space="preserve">CUST00400</t>
  </si>
  <si>
    <t xml:space="preserve">CUST00401</t>
  </si>
  <si>
    <t xml:space="preserve">CUST00402</t>
  </si>
  <si>
    <t xml:space="preserve">CUST00403</t>
  </si>
  <si>
    <t xml:space="preserve">CUST00404</t>
  </si>
  <si>
    <t xml:space="preserve">CUST00405</t>
  </si>
  <si>
    <t xml:space="preserve">CUST00406</t>
  </si>
  <si>
    <t xml:space="preserve">CUST00407</t>
  </si>
  <si>
    <t xml:space="preserve">CUST00408</t>
  </si>
  <si>
    <t xml:space="preserve">CUST00409</t>
  </si>
  <si>
    <t xml:space="preserve">CUST00410</t>
  </si>
  <si>
    <t xml:space="preserve">CUST00411</t>
  </si>
  <si>
    <t xml:space="preserve">CUST00412</t>
  </si>
  <si>
    <t xml:space="preserve">CUST00413</t>
  </si>
  <si>
    <t xml:space="preserve">CUST00414</t>
  </si>
  <si>
    <t xml:space="preserve">CUST00415</t>
  </si>
  <si>
    <t xml:space="preserve">CUST00416</t>
  </si>
  <si>
    <t xml:space="preserve">CUST00417</t>
  </si>
  <si>
    <t xml:space="preserve">CUST00418</t>
  </si>
  <si>
    <t xml:space="preserve">CUST00419</t>
  </si>
  <si>
    <t xml:space="preserve">CUST00420</t>
  </si>
  <si>
    <t xml:space="preserve">CUST00421</t>
  </si>
  <si>
    <t xml:space="preserve">CUST00422</t>
  </si>
  <si>
    <t xml:space="preserve">CUST00423</t>
  </si>
  <si>
    <t xml:space="preserve">CUST00424</t>
  </si>
  <si>
    <t xml:space="preserve">CUST00425</t>
  </si>
  <si>
    <t xml:space="preserve">CUST00426</t>
  </si>
  <si>
    <t xml:space="preserve">CUST00427</t>
  </si>
  <si>
    <t xml:space="preserve">CUST00428</t>
  </si>
  <si>
    <t xml:space="preserve">CUST00429</t>
  </si>
  <si>
    <t xml:space="preserve">CUST00430</t>
  </si>
  <si>
    <t xml:space="preserve">CUST00431</t>
  </si>
  <si>
    <t xml:space="preserve">CUST00432</t>
  </si>
  <si>
    <t xml:space="preserve">CUST00433</t>
  </si>
  <si>
    <t xml:space="preserve">CUST00434</t>
  </si>
  <si>
    <t xml:space="preserve">CUST00435</t>
  </si>
  <si>
    <t xml:space="preserve">CUST00436</t>
  </si>
  <si>
    <t xml:space="preserve">CUST00437</t>
  </si>
  <si>
    <t xml:space="preserve">CUST00438</t>
  </si>
  <si>
    <t xml:space="preserve">CUST00439</t>
  </si>
  <si>
    <t xml:space="preserve">CUST00440</t>
  </si>
  <si>
    <t xml:space="preserve">CUST00441</t>
  </si>
  <si>
    <t xml:space="preserve">CUST00442</t>
  </si>
  <si>
    <t xml:space="preserve">CUST00443</t>
  </si>
  <si>
    <t xml:space="preserve">CUST00444</t>
  </si>
  <si>
    <t xml:space="preserve">CUST00445</t>
  </si>
  <si>
    <t xml:space="preserve">CUST00446</t>
  </si>
  <si>
    <t xml:space="preserve">CUST00447</t>
  </si>
  <si>
    <t xml:space="preserve">CUST00448</t>
  </si>
  <si>
    <t xml:space="preserve">CUST00449</t>
  </si>
  <si>
    <t xml:space="preserve">CUST00450</t>
  </si>
  <si>
    <t xml:space="preserve">CUST00451</t>
  </si>
  <si>
    <t xml:space="preserve">CUST00452</t>
  </si>
  <si>
    <t xml:space="preserve">CUST00453</t>
  </si>
  <si>
    <t xml:space="preserve">CUST00454</t>
  </si>
  <si>
    <t xml:space="preserve">CUST00455</t>
  </si>
  <si>
    <t xml:space="preserve">CUST00456</t>
  </si>
  <si>
    <t xml:space="preserve">CUST00457</t>
  </si>
  <si>
    <t xml:space="preserve">CUST00458</t>
  </si>
  <si>
    <t xml:space="preserve">CUST00459</t>
  </si>
  <si>
    <t xml:space="preserve">CUST00460</t>
  </si>
  <si>
    <t xml:space="preserve">CUST00461</t>
  </si>
  <si>
    <t xml:space="preserve">CUST00462</t>
  </si>
  <si>
    <t xml:space="preserve">CUST00463</t>
  </si>
  <si>
    <t xml:space="preserve">CUST00464</t>
  </si>
  <si>
    <t xml:space="preserve">CUST00465</t>
  </si>
  <si>
    <t xml:space="preserve">CUST00466</t>
  </si>
  <si>
    <t xml:space="preserve">CUST00467</t>
  </si>
  <si>
    <t xml:space="preserve">CUST00468</t>
  </si>
  <si>
    <t xml:space="preserve">CUST00469</t>
  </si>
  <si>
    <t xml:space="preserve">CUST00470</t>
  </si>
  <si>
    <t xml:space="preserve">CUST00471</t>
  </si>
  <si>
    <t xml:space="preserve">CUST00472</t>
  </si>
  <si>
    <t xml:space="preserve">CUST00473</t>
  </si>
  <si>
    <t xml:space="preserve">CUST00474</t>
  </si>
  <si>
    <t xml:space="preserve">CUST00475</t>
  </si>
  <si>
    <t xml:space="preserve">CUST00476</t>
  </si>
  <si>
    <t xml:space="preserve">CUST00477</t>
  </si>
  <si>
    <t xml:space="preserve">CUST00478</t>
  </si>
  <si>
    <t xml:space="preserve">CUST00479</t>
  </si>
  <si>
    <t xml:space="preserve">CUST00480</t>
  </si>
  <si>
    <t xml:space="preserve">CUST00481</t>
  </si>
  <si>
    <t xml:space="preserve">CUST00482</t>
  </si>
  <si>
    <t xml:space="preserve">CUST00483</t>
  </si>
  <si>
    <t xml:space="preserve">CUST00484</t>
  </si>
  <si>
    <t xml:space="preserve">CUST00485</t>
  </si>
  <si>
    <t xml:space="preserve">CUST00486</t>
  </si>
  <si>
    <t xml:space="preserve">CUST00487</t>
  </si>
  <si>
    <t xml:space="preserve">CUST00488</t>
  </si>
  <si>
    <t xml:space="preserve">CUST00489</t>
  </si>
  <si>
    <t xml:space="preserve">CUST00490</t>
  </si>
  <si>
    <t xml:space="preserve">CUST00491</t>
  </si>
  <si>
    <t xml:space="preserve">CUST00492</t>
  </si>
  <si>
    <t xml:space="preserve">CUST00493</t>
  </si>
  <si>
    <t xml:space="preserve">CUST00494</t>
  </si>
  <si>
    <t xml:space="preserve">CUST00495</t>
  </si>
  <si>
    <t xml:space="preserve">CUST00496</t>
  </si>
  <si>
    <t xml:space="preserve">CUST00497</t>
  </si>
  <si>
    <t xml:space="preserve">CUST00498</t>
  </si>
  <si>
    <t xml:space="preserve">CUST00499</t>
  </si>
  <si>
    <t xml:space="preserve">CUST00500</t>
  </si>
  <si>
    <t xml:space="preserve">CUST00501</t>
  </si>
  <si>
    <t xml:space="preserve">CUST00502</t>
  </si>
  <si>
    <t xml:space="preserve">CUST00503</t>
  </si>
  <si>
    <t xml:space="preserve">CUST00504</t>
  </si>
  <si>
    <t xml:space="preserve">CUST00505</t>
  </si>
  <si>
    <t xml:space="preserve">CUST00506</t>
  </si>
  <si>
    <t xml:space="preserve">CUST00507</t>
  </si>
  <si>
    <t xml:space="preserve">CUST00508</t>
  </si>
  <si>
    <t xml:space="preserve">CUST00509</t>
  </si>
  <si>
    <t xml:space="preserve">CUST00510</t>
  </si>
  <si>
    <t xml:space="preserve">CUST00511</t>
  </si>
  <si>
    <t xml:space="preserve">CUST00512</t>
  </si>
  <si>
    <t xml:space="preserve">CUST00513</t>
  </si>
  <si>
    <t xml:space="preserve">CUST00514</t>
  </si>
  <si>
    <t xml:space="preserve">CUST00515</t>
  </si>
  <si>
    <t xml:space="preserve">CUST00516</t>
  </si>
  <si>
    <t xml:space="preserve">CUST00517</t>
  </si>
  <si>
    <t xml:space="preserve">CUST00518</t>
  </si>
  <si>
    <t xml:space="preserve">CUST00519</t>
  </si>
  <si>
    <t xml:space="preserve">CUST00520</t>
  </si>
  <si>
    <t xml:space="preserve">CUST00521</t>
  </si>
  <si>
    <t xml:space="preserve">CUST00522</t>
  </si>
  <si>
    <t xml:space="preserve">CUST00523</t>
  </si>
  <si>
    <t xml:space="preserve">CUST00524</t>
  </si>
  <si>
    <t xml:space="preserve">CUST00525</t>
  </si>
  <si>
    <t xml:space="preserve">CUST00526</t>
  </si>
  <si>
    <t xml:space="preserve">CUST00527</t>
  </si>
  <si>
    <t xml:space="preserve">CUST00528</t>
  </si>
  <si>
    <t xml:space="preserve">CUST00529</t>
  </si>
  <si>
    <t xml:space="preserve">CUST00530</t>
  </si>
  <si>
    <t xml:space="preserve">CUST00531</t>
  </si>
  <si>
    <t xml:space="preserve">CUST00532</t>
  </si>
  <si>
    <t xml:space="preserve">CUST00533</t>
  </si>
  <si>
    <t xml:space="preserve">CUST00534</t>
  </si>
  <si>
    <t xml:space="preserve">CUST00535</t>
  </si>
  <si>
    <t xml:space="preserve">CUST00536</t>
  </si>
  <si>
    <t xml:space="preserve">CUST00537</t>
  </si>
  <si>
    <t xml:space="preserve">CUST00538</t>
  </si>
  <si>
    <t xml:space="preserve">CUST00539</t>
  </si>
  <si>
    <t xml:space="preserve">CUST00540</t>
  </si>
  <si>
    <t xml:space="preserve">CUST00541</t>
  </si>
  <si>
    <t xml:space="preserve">CUST00542</t>
  </si>
  <si>
    <t xml:space="preserve">CUST00543</t>
  </si>
  <si>
    <t xml:space="preserve">CUST00544</t>
  </si>
  <si>
    <t xml:space="preserve">CUST00545</t>
  </si>
  <si>
    <t xml:space="preserve">CUST00546</t>
  </si>
  <si>
    <t xml:space="preserve">CUST00547</t>
  </si>
  <si>
    <t xml:space="preserve">CUST00548</t>
  </si>
  <si>
    <t xml:space="preserve">CUST00549</t>
  </si>
  <si>
    <t xml:space="preserve">CUST00550</t>
  </si>
  <si>
    <t xml:space="preserve">CUST00551</t>
  </si>
  <si>
    <t xml:space="preserve">CUST00552</t>
  </si>
  <si>
    <t xml:space="preserve">CUST00553</t>
  </si>
  <si>
    <t xml:space="preserve">CUST00554</t>
  </si>
  <si>
    <t xml:space="preserve">CUST00555</t>
  </si>
  <si>
    <t xml:space="preserve">CUST00556</t>
  </si>
  <si>
    <t xml:space="preserve">CUST00557</t>
  </si>
  <si>
    <t xml:space="preserve">CUST00558</t>
  </si>
  <si>
    <t xml:space="preserve">CUST00559</t>
  </si>
  <si>
    <t xml:space="preserve">CUST00560</t>
  </si>
  <si>
    <t xml:space="preserve">CUST00561</t>
  </si>
  <si>
    <t xml:space="preserve">CUST00562</t>
  </si>
  <si>
    <t xml:space="preserve">CUST00563</t>
  </si>
  <si>
    <t xml:space="preserve">CUST00564</t>
  </si>
  <si>
    <t xml:space="preserve">CUST00565</t>
  </si>
  <si>
    <t xml:space="preserve">CUST00566</t>
  </si>
  <si>
    <t xml:space="preserve">CUST00567</t>
  </si>
  <si>
    <t xml:space="preserve">CUST00568</t>
  </si>
  <si>
    <t xml:space="preserve">CUST00569</t>
  </si>
  <si>
    <t xml:space="preserve">CUST00570</t>
  </si>
  <si>
    <t xml:space="preserve">CUST00571</t>
  </si>
  <si>
    <t xml:space="preserve">CUST00572</t>
  </si>
  <si>
    <t xml:space="preserve">CUST00573</t>
  </si>
  <si>
    <t xml:space="preserve">CUST00574</t>
  </si>
  <si>
    <t xml:space="preserve">CUST00575</t>
  </si>
  <si>
    <t xml:space="preserve">CUST00576</t>
  </si>
  <si>
    <t xml:space="preserve">CUST00577</t>
  </si>
  <si>
    <t xml:space="preserve">CUST00578</t>
  </si>
  <si>
    <t xml:space="preserve">CUST00579</t>
  </si>
  <si>
    <t xml:space="preserve">CUST00580</t>
  </si>
  <si>
    <t xml:space="preserve">CUST00581</t>
  </si>
  <si>
    <t xml:space="preserve">CUST00582</t>
  </si>
  <si>
    <t xml:space="preserve">CUST00583</t>
  </si>
  <si>
    <t xml:space="preserve">CUST00584</t>
  </si>
  <si>
    <t xml:space="preserve">CUST00585</t>
  </si>
  <si>
    <t xml:space="preserve">CUST00586</t>
  </si>
  <si>
    <t xml:space="preserve">CUST00587</t>
  </si>
  <si>
    <t xml:space="preserve">CUST00588</t>
  </si>
  <si>
    <t xml:space="preserve">CUST00589</t>
  </si>
  <si>
    <t xml:space="preserve">CUST00590</t>
  </si>
  <si>
    <t xml:space="preserve">CUST00591</t>
  </si>
  <si>
    <t xml:space="preserve">CUST00592</t>
  </si>
  <si>
    <t xml:space="preserve">CUST00593</t>
  </si>
  <si>
    <t xml:space="preserve">CUST00594</t>
  </si>
  <si>
    <t xml:space="preserve">CUST00595</t>
  </si>
  <si>
    <t xml:space="preserve">CUST00596</t>
  </si>
  <si>
    <t xml:space="preserve">CUST00597</t>
  </si>
  <si>
    <t xml:space="preserve">CUST00598</t>
  </si>
  <si>
    <t xml:space="preserve">CUST00599</t>
  </si>
  <si>
    <t xml:space="preserve">CUST00600</t>
  </si>
  <si>
    <t xml:space="preserve">CUST00601</t>
  </si>
  <si>
    <t xml:space="preserve">CUST00602</t>
  </si>
  <si>
    <t xml:space="preserve">CUST00603</t>
  </si>
  <si>
    <t xml:space="preserve">CUST00604</t>
  </si>
  <si>
    <t xml:space="preserve">CUST00605</t>
  </si>
  <si>
    <t xml:space="preserve">CUST00606</t>
  </si>
  <si>
    <t xml:space="preserve">CUST00607</t>
  </si>
  <si>
    <t xml:space="preserve">CUST00608</t>
  </si>
  <si>
    <t xml:space="preserve">CUST00609</t>
  </si>
  <si>
    <t xml:space="preserve">CUST00610</t>
  </si>
  <si>
    <t xml:space="preserve">CUST00611</t>
  </si>
  <si>
    <t xml:space="preserve">CUST00612</t>
  </si>
  <si>
    <t xml:space="preserve">CUST00613</t>
  </si>
  <si>
    <t xml:space="preserve">CUST00614</t>
  </si>
  <si>
    <t xml:space="preserve">CUST00615</t>
  </si>
  <si>
    <t xml:space="preserve">CUST00616</t>
  </si>
  <si>
    <t xml:space="preserve">CUST00617</t>
  </si>
  <si>
    <t xml:space="preserve">CUST00618</t>
  </si>
  <si>
    <t xml:space="preserve">CUST00619</t>
  </si>
  <si>
    <t xml:space="preserve">CUST00620</t>
  </si>
  <si>
    <t xml:space="preserve">CUST00621</t>
  </si>
  <si>
    <t xml:space="preserve">CUST00622</t>
  </si>
  <si>
    <t xml:space="preserve">CUST00623</t>
  </si>
  <si>
    <t xml:space="preserve">CUST00624</t>
  </si>
  <si>
    <t xml:space="preserve">CUST00625</t>
  </si>
  <si>
    <t xml:space="preserve">CUST00626</t>
  </si>
  <si>
    <t xml:space="preserve">CUST00627</t>
  </si>
  <si>
    <t xml:space="preserve">CUST00628</t>
  </si>
  <si>
    <t xml:space="preserve">CUST00629</t>
  </si>
  <si>
    <t xml:space="preserve">CUST00630</t>
  </si>
  <si>
    <t xml:space="preserve">CUST00631</t>
  </si>
  <si>
    <t xml:space="preserve">CUST00632</t>
  </si>
  <si>
    <t xml:space="preserve">CUST00633</t>
  </si>
  <si>
    <t xml:space="preserve">CUST00634</t>
  </si>
  <si>
    <t xml:space="preserve">CUST00635</t>
  </si>
  <si>
    <t xml:space="preserve">CUST00636</t>
  </si>
  <si>
    <t xml:space="preserve">CUST00637</t>
  </si>
  <si>
    <t xml:space="preserve">CUST00638</t>
  </si>
  <si>
    <t xml:space="preserve">CUST00639</t>
  </si>
  <si>
    <t xml:space="preserve">CUST00640</t>
  </si>
  <si>
    <t xml:space="preserve">CUST00641</t>
  </si>
  <si>
    <t xml:space="preserve">CUST00642</t>
  </si>
  <si>
    <t xml:space="preserve">CUST00643</t>
  </si>
  <si>
    <t xml:space="preserve">CUST00644</t>
  </si>
  <si>
    <t xml:space="preserve">CUST00645</t>
  </si>
  <si>
    <t xml:space="preserve">CUST00646</t>
  </si>
  <si>
    <t xml:space="preserve">CUST00647</t>
  </si>
  <si>
    <t xml:space="preserve">CUST00648</t>
  </si>
  <si>
    <t xml:space="preserve">CUST00649</t>
  </si>
  <si>
    <t xml:space="preserve">CUST00650</t>
  </si>
  <si>
    <t xml:space="preserve">CUST00651</t>
  </si>
  <si>
    <t xml:space="preserve">CUST00652</t>
  </si>
  <si>
    <t xml:space="preserve">CUST00653</t>
  </si>
  <si>
    <t xml:space="preserve">CUST00654</t>
  </si>
  <si>
    <t xml:space="preserve">CUST00655</t>
  </si>
  <si>
    <t xml:space="preserve">CUST00656</t>
  </si>
  <si>
    <t xml:space="preserve">CUST00657</t>
  </si>
  <si>
    <t xml:space="preserve">CUST00658</t>
  </si>
  <si>
    <t xml:space="preserve">CUST00659</t>
  </si>
  <si>
    <t xml:space="preserve">CUST00660</t>
  </si>
  <si>
    <t xml:space="preserve">CUST00661</t>
  </si>
  <si>
    <t xml:space="preserve">CUST00662</t>
  </si>
  <si>
    <t xml:space="preserve">CUST00663</t>
  </si>
  <si>
    <t xml:space="preserve">CUST00664</t>
  </si>
  <si>
    <t xml:space="preserve">CUST00665</t>
  </si>
  <si>
    <t xml:space="preserve">CUST00666</t>
  </si>
  <si>
    <t xml:space="preserve">CUST00667</t>
  </si>
  <si>
    <t xml:space="preserve">CUST00668</t>
  </si>
  <si>
    <t xml:space="preserve">CUST00669</t>
  </si>
  <si>
    <t xml:space="preserve">CUST00670</t>
  </si>
  <si>
    <t xml:space="preserve">CUST00671</t>
  </si>
  <si>
    <t xml:space="preserve">CUST00672</t>
  </si>
  <si>
    <t xml:space="preserve">CUST00673</t>
  </si>
  <si>
    <t xml:space="preserve">CUST00674</t>
  </si>
  <si>
    <t xml:space="preserve">CUST00675</t>
  </si>
  <si>
    <t xml:space="preserve">CUST00676</t>
  </si>
  <si>
    <t xml:space="preserve">CUST00677</t>
  </si>
  <si>
    <t xml:space="preserve">CUST00678</t>
  </si>
  <si>
    <t xml:space="preserve">CUST00679</t>
  </si>
  <si>
    <t xml:space="preserve">CUST00680</t>
  </si>
  <si>
    <t xml:space="preserve">CUST00681</t>
  </si>
  <si>
    <t xml:space="preserve">CUST00682</t>
  </si>
  <si>
    <t xml:space="preserve">CUST00683</t>
  </si>
  <si>
    <t xml:space="preserve">CUST00684</t>
  </si>
  <si>
    <t xml:space="preserve">CUST00685</t>
  </si>
  <si>
    <t xml:space="preserve">CUST00686</t>
  </si>
  <si>
    <t xml:space="preserve">CUST00687</t>
  </si>
  <si>
    <t xml:space="preserve">CUST00688</t>
  </si>
  <si>
    <t xml:space="preserve">CUST00689</t>
  </si>
  <si>
    <t xml:space="preserve">CUST00690</t>
  </si>
  <si>
    <t xml:space="preserve">CUST00691</t>
  </si>
  <si>
    <t xml:space="preserve">CUST00692</t>
  </si>
  <si>
    <t xml:space="preserve">CUST00693</t>
  </si>
  <si>
    <t xml:space="preserve">CUST00694</t>
  </si>
  <si>
    <t xml:space="preserve">CUST00695</t>
  </si>
  <si>
    <t xml:space="preserve">CUST00696</t>
  </si>
  <si>
    <t xml:space="preserve">CUST00697</t>
  </si>
  <si>
    <t xml:space="preserve">CUST00698</t>
  </si>
  <si>
    <t xml:space="preserve">CUST00699</t>
  </si>
  <si>
    <t xml:space="preserve">CUST00700</t>
  </si>
  <si>
    <t xml:space="preserve">CUST00701</t>
  </si>
  <si>
    <t xml:space="preserve">CUST00702</t>
  </si>
  <si>
    <t xml:space="preserve">CUST00703</t>
  </si>
  <si>
    <t xml:space="preserve">CUST00704</t>
  </si>
  <si>
    <t xml:space="preserve">CUST00705</t>
  </si>
  <si>
    <t xml:space="preserve">CUST00706</t>
  </si>
  <si>
    <t xml:space="preserve">CUST00707</t>
  </si>
  <si>
    <t xml:space="preserve">CUST00708</t>
  </si>
  <si>
    <t xml:space="preserve">CUST00709</t>
  </si>
  <si>
    <t xml:space="preserve">CUST00710</t>
  </si>
  <si>
    <t xml:space="preserve">CUST00711</t>
  </si>
  <si>
    <t xml:space="preserve">CUST00712</t>
  </si>
  <si>
    <t xml:space="preserve">CUST00713</t>
  </si>
  <si>
    <t xml:space="preserve">CUST00714</t>
  </si>
  <si>
    <t xml:space="preserve">CUST00715</t>
  </si>
  <si>
    <t xml:space="preserve">CUST00716</t>
  </si>
  <si>
    <t xml:space="preserve">CUST00717</t>
  </si>
  <si>
    <t xml:space="preserve">CUST00718</t>
  </si>
  <si>
    <t xml:space="preserve">CUST00719</t>
  </si>
  <si>
    <t xml:space="preserve">CUST00720</t>
  </si>
  <si>
    <t xml:space="preserve">CUST00721</t>
  </si>
  <si>
    <t xml:space="preserve">CUST00722</t>
  </si>
  <si>
    <t xml:space="preserve">CUST00723</t>
  </si>
  <si>
    <t xml:space="preserve">CUST00724</t>
  </si>
  <si>
    <t xml:space="preserve">CUST00725</t>
  </si>
  <si>
    <t xml:space="preserve">CUST00726</t>
  </si>
  <si>
    <t xml:space="preserve">CUST00727</t>
  </si>
  <si>
    <t xml:space="preserve">CUST00728</t>
  </si>
  <si>
    <t xml:space="preserve">CUST00729</t>
  </si>
  <si>
    <t xml:space="preserve">CUST00730</t>
  </si>
  <si>
    <t xml:space="preserve">CUST00731</t>
  </si>
  <si>
    <t xml:space="preserve">CUST00732</t>
  </si>
  <si>
    <t xml:space="preserve">CUST00733</t>
  </si>
  <si>
    <t xml:space="preserve">CUST00734</t>
  </si>
  <si>
    <t xml:space="preserve">CUST00735</t>
  </si>
  <si>
    <t xml:space="preserve">CUST00736</t>
  </si>
  <si>
    <t xml:space="preserve">CUST00737</t>
  </si>
  <si>
    <t xml:space="preserve">CUST00738</t>
  </si>
  <si>
    <t xml:space="preserve">CUST00739</t>
  </si>
  <si>
    <t xml:space="preserve">CUST00740</t>
  </si>
  <si>
    <t xml:space="preserve">CUST00741</t>
  </si>
  <si>
    <t xml:space="preserve">CUST00742</t>
  </si>
  <si>
    <t xml:space="preserve">CUST00743</t>
  </si>
  <si>
    <t xml:space="preserve">CUST00744</t>
  </si>
  <si>
    <t xml:space="preserve">CUST00745</t>
  </si>
  <si>
    <t xml:space="preserve">CUST00746</t>
  </si>
  <si>
    <t xml:space="preserve">CUST00747</t>
  </si>
  <si>
    <t xml:space="preserve">CUST00748</t>
  </si>
  <si>
    <t xml:space="preserve">CUST00749</t>
  </si>
  <si>
    <t xml:space="preserve">CUST00750</t>
  </si>
  <si>
    <t xml:space="preserve">CUST00751</t>
  </si>
  <si>
    <t xml:space="preserve">CUST00752</t>
  </si>
  <si>
    <t xml:space="preserve">CUST00753</t>
  </si>
  <si>
    <t xml:space="preserve">CUST00754</t>
  </si>
  <si>
    <t xml:space="preserve">CUST00755</t>
  </si>
  <si>
    <t xml:space="preserve">CUST00756</t>
  </si>
  <si>
    <t xml:space="preserve">CUST00757</t>
  </si>
  <si>
    <t xml:space="preserve">CUST00758</t>
  </si>
  <si>
    <t xml:space="preserve">CUST00759</t>
  </si>
  <si>
    <t xml:space="preserve">CUST00760</t>
  </si>
  <si>
    <t xml:space="preserve">CUST00761</t>
  </si>
  <si>
    <t xml:space="preserve">CUST00762</t>
  </si>
  <si>
    <t xml:space="preserve">CUST00763</t>
  </si>
  <si>
    <t xml:space="preserve">CUST00764</t>
  </si>
  <si>
    <t xml:space="preserve">CUST00765</t>
  </si>
  <si>
    <t xml:space="preserve">CUST00766</t>
  </si>
  <si>
    <t xml:space="preserve">CUST00767</t>
  </si>
  <si>
    <t xml:space="preserve">CUST00768</t>
  </si>
  <si>
    <t xml:space="preserve">CUST00769</t>
  </si>
  <si>
    <t xml:space="preserve">CUST00770</t>
  </si>
  <si>
    <t xml:space="preserve">CUST00771</t>
  </si>
  <si>
    <t xml:space="preserve">CUST00772</t>
  </si>
  <si>
    <t xml:space="preserve">CUST00773</t>
  </si>
  <si>
    <t xml:space="preserve">CUST00774</t>
  </si>
  <si>
    <t xml:space="preserve">CUST00775</t>
  </si>
  <si>
    <t xml:space="preserve">CUST00776</t>
  </si>
  <si>
    <t xml:space="preserve">CUST00777</t>
  </si>
  <si>
    <t xml:space="preserve">CUST00778</t>
  </si>
  <si>
    <t xml:space="preserve">CUST00779</t>
  </si>
  <si>
    <t xml:space="preserve">CUST00780</t>
  </si>
  <si>
    <t xml:space="preserve">CUST00781</t>
  </si>
  <si>
    <t xml:space="preserve">CUST00782</t>
  </si>
  <si>
    <t xml:space="preserve">CUST00783</t>
  </si>
  <si>
    <t xml:space="preserve">CUST00784</t>
  </si>
  <si>
    <t xml:space="preserve">CUST00785</t>
  </si>
  <si>
    <t xml:space="preserve">CUST00786</t>
  </si>
  <si>
    <t xml:space="preserve">CUST00787</t>
  </si>
  <si>
    <t xml:space="preserve">CUST00788</t>
  </si>
  <si>
    <t xml:space="preserve">CUST00789</t>
  </si>
  <si>
    <t xml:space="preserve">CUST00790</t>
  </si>
  <si>
    <t xml:space="preserve">CUST00791</t>
  </si>
  <si>
    <t xml:space="preserve">CUST00792</t>
  </si>
  <si>
    <t xml:space="preserve">CUST00793</t>
  </si>
  <si>
    <t xml:space="preserve">CUST00794</t>
  </si>
  <si>
    <t xml:space="preserve">CUST00795</t>
  </si>
  <si>
    <t xml:space="preserve">CUST00796</t>
  </si>
  <si>
    <t xml:space="preserve">CUST00797</t>
  </si>
  <si>
    <t xml:space="preserve">CUST00798</t>
  </si>
  <si>
    <t xml:space="preserve">CUST00799</t>
  </si>
  <si>
    <t xml:space="preserve">CUST00800</t>
  </si>
  <si>
    <t xml:space="preserve">CUST00801</t>
  </si>
  <si>
    <t xml:space="preserve">CUST00802</t>
  </si>
  <si>
    <t xml:space="preserve">CUST00803</t>
  </si>
  <si>
    <t xml:space="preserve">CUST00804</t>
  </si>
  <si>
    <t xml:space="preserve">CUST00805</t>
  </si>
  <si>
    <t xml:space="preserve">CUST00806</t>
  </si>
  <si>
    <t xml:space="preserve">CUST00807</t>
  </si>
  <si>
    <t xml:space="preserve">CUST00808</t>
  </si>
  <si>
    <t xml:space="preserve">CUST00809</t>
  </si>
  <si>
    <t xml:space="preserve">CUST00810</t>
  </si>
  <si>
    <t xml:space="preserve">CUST00811</t>
  </si>
  <si>
    <t xml:space="preserve">CUST00812</t>
  </si>
  <si>
    <t xml:space="preserve">CUST00813</t>
  </si>
  <si>
    <t xml:space="preserve">CUST00814</t>
  </si>
  <si>
    <t xml:space="preserve">CUST00815</t>
  </si>
  <si>
    <t xml:space="preserve">CUST00816</t>
  </si>
  <si>
    <t xml:space="preserve">CUST00817</t>
  </si>
  <si>
    <t xml:space="preserve">CUST00818</t>
  </si>
  <si>
    <t xml:space="preserve">CUST00819</t>
  </si>
  <si>
    <t xml:space="preserve">CUST00820</t>
  </si>
  <si>
    <t xml:space="preserve">CUST00821</t>
  </si>
  <si>
    <t xml:space="preserve">CUST00822</t>
  </si>
  <si>
    <t xml:space="preserve">CUST00823</t>
  </si>
  <si>
    <t xml:space="preserve">CUST00824</t>
  </si>
  <si>
    <t xml:space="preserve">CUST00825</t>
  </si>
  <si>
    <t xml:space="preserve">CUST00826</t>
  </si>
  <si>
    <t xml:space="preserve">CUST00827</t>
  </si>
  <si>
    <t xml:space="preserve">CUST00828</t>
  </si>
  <si>
    <t xml:space="preserve">CUST00829</t>
  </si>
  <si>
    <t xml:space="preserve">CUST00830</t>
  </si>
  <si>
    <t xml:space="preserve">CUST00831</t>
  </si>
  <si>
    <t xml:space="preserve">CUST00832</t>
  </si>
  <si>
    <t xml:space="preserve">CUST00833</t>
  </si>
  <si>
    <t xml:space="preserve">CUST00834</t>
  </si>
  <si>
    <t xml:space="preserve">CUST00835</t>
  </si>
  <si>
    <t xml:space="preserve">CUST00836</t>
  </si>
  <si>
    <t xml:space="preserve">CUST00837</t>
  </si>
  <si>
    <t xml:space="preserve">CUST00838</t>
  </si>
  <si>
    <t xml:space="preserve">CUST00839</t>
  </si>
  <si>
    <t xml:space="preserve">CUST00840</t>
  </si>
  <si>
    <t xml:space="preserve">CUST00841</t>
  </si>
  <si>
    <t xml:space="preserve">CUST00842</t>
  </si>
  <si>
    <t xml:space="preserve">CUST00843</t>
  </si>
  <si>
    <t xml:space="preserve">CUST00844</t>
  </si>
  <si>
    <t xml:space="preserve">CUST00845</t>
  </si>
  <si>
    <t xml:space="preserve">CUST00846</t>
  </si>
  <si>
    <t xml:space="preserve">CUST00847</t>
  </si>
  <si>
    <t xml:space="preserve">CUST00848</t>
  </si>
  <si>
    <t xml:space="preserve">CUST00849</t>
  </si>
  <si>
    <t xml:space="preserve">CUST00850</t>
  </si>
  <si>
    <t xml:space="preserve">CUST00851</t>
  </si>
  <si>
    <t xml:space="preserve">CUST00852</t>
  </si>
  <si>
    <t xml:space="preserve">CUST00853</t>
  </si>
  <si>
    <t xml:space="preserve">CUST00854</t>
  </si>
  <si>
    <t xml:space="preserve">CUST00855</t>
  </si>
  <si>
    <t xml:space="preserve">CUST00856</t>
  </si>
  <si>
    <t xml:space="preserve">CUST00857</t>
  </si>
  <si>
    <t xml:space="preserve">CUST00858</t>
  </si>
  <si>
    <t xml:space="preserve">CUST00859</t>
  </si>
  <si>
    <t xml:space="preserve">CUST00860</t>
  </si>
  <si>
    <t xml:space="preserve">CUST00861</t>
  </si>
  <si>
    <t xml:space="preserve">CUST00862</t>
  </si>
  <si>
    <t xml:space="preserve">CUST00863</t>
  </si>
  <si>
    <t xml:space="preserve">CUST00864</t>
  </si>
  <si>
    <t xml:space="preserve">CUST00865</t>
  </si>
  <si>
    <t xml:space="preserve">CUST00866</t>
  </si>
  <si>
    <t xml:space="preserve">CUST00867</t>
  </si>
  <si>
    <t xml:space="preserve">CUST00868</t>
  </si>
  <si>
    <t xml:space="preserve">CUST00869</t>
  </si>
  <si>
    <t xml:space="preserve">CUST00870</t>
  </si>
  <si>
    <t xml:space="preserve">CUST00871</t>
  </si>
  <si>
    <t xml:space="preserve">CUST00872</t>
  </si>
  <si>
    <t xml:space="preserve">CUST00873</t>
  </si>
  <si>
    <t xml:space="preserve">CUST00874</t>
  </si>
  <si>
    <t xml:space="preserve">CUST00875</t>
  </si>
  <si>
    <t xml:space="preserve">CUST00876</t>
  </si>
  <si>
    <t xml:space="preserve">CUST00877</t>
  </si>
  <si>
    <t xml:space="preserve">CUST00878</t>
  </si>
  <si>
    <t xml:space="preserve">CUST00879</t>
  </si>
  <si>
    <t xml:space="preserve">CUST00880</t>
  </si>
  <si>
    <t xml:space="preserve">CUST00881</t>
  </si>
  <si>
    <t xml:space="preserve">CUST00882</t>
  </si>
  <si>
    <t xml:space="preserve">CUST00883</t>
  </si>
  <si>
    <t xml:space="preserve">CUST00884</t>
  </si>
  <si>
    <t xml:space="preserve">CUST00885</t>
  </si>
  <si>
    <t xml:space="preserve">CUST00886</t>
  </si>
  <si>
    <t xml:space="preserve">CUST00887</t>
  </si>
  <si>
    <t xml:space="preserve">CUST00888</t>
  </si>
  <si>
    <t xml:space="preserve">CUST00889</t>
  </si>
  <si>
    <t xml:space="preserve">CUST00890</t>
  </si>
  <si>
    <t xml:space="preserve">CUST00891</t>
  </si>
  <si>
    <t xml:space="preserve">CUST00892</t>
  </si>
  <si>
    <t xml:space="preserve">CUST00893</t>
  </si>
  <si>
    <t xml:space="preserve">CUST00894</t>
  </si>
  <si>
    <t xml:space="preserve">CUST00895</t>
  </si>
  <si>
    <t xml:space="preserve">CUST00896</t>
  </si>
  <si>
    <t xml:space="preserve">CUST00897</t>
  </si>
  <si>
    <t xml:space="preserve">CUST00898</t>
  </si>
  <si>
    <t xml:space="preserve">CUST00899</t>
  </si>
  <si>
    <t xml:space="preserve">CUST00900</t>
  </si>
  <si>
    <t xml:space="preserve">CUST00901</t>
  </si>
  <si>
    <t xml:space="preserve">CUST00902</t>
  </si>
  <si>
    <t xml:space="preserve">CUST00903</t>
  </si>
  <si>
    <t xml:space="preserve">CUST00904</t>
  </si>
  <si>
    <t xml:space="preserve">CUST00905</t>
  </si>
  <si>
    <t xml:space="preserve">CUST00906</t>
  </si>
  <si>
    <t xml:space="preserve">CUST00907</t>
  </si>
  <si>
    <t xml:space="preserve">CUST00908</t>
  </si>
  <si>
    <t xml:space="preserve">CUST00909</t>
  </si>
  <si>
    <t xml:space="preserve">CUST00910</t>
  </si>
  <si>
    <t xml:space="preserve">CUST00911</t>
  </si>
  <si>
    <t xml:space="preserve">CUST00912</t>
  </si>
  <si>
    <t xml:space="preserve">CUST00913</t>
  </si>
  <si>
    <t xml:space="preserve">CUST00914</t>
  </si>
  <si>
    <t xml:space="preserve">CUST00915</t>
  </si>
  <si>
    <t xml:space="preserve">CUST00916</t>
  </si>
  <si>
    <t xml:space="preserve">CUST00917</t>
  </si>
  <si>
    <t xml:space="preserve">CUST00918</t>
  </si>
  <si>
    <t xml:space="preserve">CUST00919</t>
  </si>
  <si>
    <t xml:space="preserve">CUST00920</t>
  </si>
  <si>
    <t xml:space="preserve">CUST00921</t>
  </si>
  <si>
    <t xml:space="preserve">CUST00922</t>
  </si>
  <si>
    <t xml:space="preserve">CUST00923</t>
  </si>
  <si>
    <t xml:space="preserve">CUST00924</t>
  </si>
  <si>
    <t xml:space="preserve">CUST00925</t>
  </si>
  <si>
    <t xml:space="preserve">CUST00926</t>
  </si>
  <si>
    <t xml:space="preserve">CUST00927</t>
  </si>
  <si>
    <t xml:space="preserve">CUST00928</t>
  </si>
  <si>
    <t xml:space="preserve">CUST00929</t>
  </si>
  <si>
    <t xml:space="preserve">CUST00930</t>
  </si>
  <si>
    <t xml:space="preserve">CUST00931</t>
  </si>
  <si>
    <t xml:space="preserve">CUST00932</t>
  </si>
  <si>
    <t xml:space="preserve">CUST00933</t>
  </si>
  <si>
    <t xml:space="preserve">CUST00934</t>
  </si>
  <si>
    <t xml:space="preserve">CUST00935</t>
  </si>
  <si>
    <t xml:space="preserve">CUST00936</t>
  </si>
  <si>
    <t xml:space="preserve">CUST00937</t>
  </si>
  <si>
    <t xml:space="preserve">CUST00938</t>
  </si>
  <si>
    <t xml:space="preserve">CUST00939</t>
  </si>
  <si>
    <t xml:space="preserve">CUST00940</t>
  </si>
  <si>
    <t xml:space="preserve">CUST00941</t>
  </si>
  <si>
    <t xml:space="preserve">CUST00942</t>
  </si>
  <si>
    <t xml:space="preserve">CUST00943</t>
  </si>
  <si>
    <t xml:space="preserve">CUST00944</t>
  </si>
  <si>
    <t xml:space="preserve">CUST00945</t>
  </si>
  <si>
    <t xml:space="preserve">CUST00946</t>
  </si>
  <si>
    <t xml:space="preserve">CUST00947</t>
  </si>
  <si>
    <t xml:space="preserve">CUST00948</t>
  </si>
  <si>
    <t xml:space="preserve">CUST00949</t>
  </si>
  <si>
    <t xml:space="preserve">CUST00950</t>
  </si>
  <si>
    <t xml:space="preserve">CUST00951</t>
  </si>
  <si>
    <t xml:space="preserve">CUST00952</t>
  </si>
  <si>
    <t xml:space="preserve">CUST00953</t>
  </si>
  <si>
    <t xml:space="preserve">CUST00954</t>
  </si>
  <si>
    <t xml:space="preserve">CUST00955</t>
  </si>
  <si>
    <t xml:space="preserve">CUST00956</t>
  </si>
  <si>
    <t xml:space="preserve">CUST00957</t>
  </si>
  <si>
    <t xml:space="preserve">CUST00958</t>
  </si>
  <si>
    <t xml:space="preserve">CUST00959</t>
  </si>
  <si>
    <t xml:space="preserve">CUST00960</t>
  </si>
  <si>
    <t xml:space="preserve">CUST00961</t>
  </si>
  <si>
    <t xml:space="preserve">CUST00962</t>
  </si>
  <si>
    <t xml:space="preserve">CUST00963</t>
  </si>
  <si>
    <t xml:space="preserve">CUST00964</t>
  </si>
  <si>
    <t xml:space="preserve">CUST00965</t>
  </si>
  <si>
    <t xml:space="preserve">CUST00966</t>
  </si>
  <si>
    <t xml:space="preserve">CUST00967</t>
  </si>
  <si>
    <t xml:space="preserve">CUST00968</t>
  </si>
  <si>
    <t xml:space="preserve">CUST00969</t>
  </si>
  <si>
    <t xml:space="preserve">CUST00970</t>
  </si>
  <si>
    <t xml:space="preserve">CUST00971</t>
  </si>
  <si>
    <t xml:space="preserve">CUST00972</t>
  </si>
  <si>
    <t xml:space="preserve">CUST00973</t>
  </si>
  <si>
    <t xml:space="preserve">CUST00974</t>
  </si>
  <si>
    <t xml:space="preserve">CUST00975</t>
  </si>
  <si>
    <t xml:space="preserve">CUST00976</t>
  </si>
  <si>
    <t xml:space="preserve">CUST00977</t>
  </si>
  <si>
    <t xml:space="preserve">CUST00978</t>
  </si>
  <si>
    <t xml:space="preserve">CUST00979</t>
  </si>
  <si>
    <t xml:space="preserve">CUST00980</t>
  </si>
  <si>
    <t xml:space="preserve">CUST00981</t>
  </si>
  <si>
    <t xml:space="preserve">CUST00982</t>
  </si>
  <si>
    <t xml:space="preserve">CUST00983</t>
  </si>
  <si>
    <t xml:space="preserve">CUST00984</t>
  </si>
  <si>
    <t xml:space="preserve">CUST00985</t>
  </si>
  <si>
    <t xml:space="preserve">CUST00986</t>
  </si>
  <si>
    <t xml:space="preserve">CUST00987</t>
  </si>
  <si>
    <t xml:space="preserve">CUST00988</t>
  </si>
  <si>
    <t xml:space="preserve">CUST00989</t>
  </si>
  <si>
    <t xml:space="preserve">CUST00990</t>
  </si>
  <si>
    <t xml:space="preserve">CUST00991</t>
  </si>
  <si>
    <t xml:space="preserve">CUST00992</t>
  </si>
  <si>
    <t xml:space="preserve">CUST00993</t>
  </si>
  <si>
    <t xml:space="preserve">CUST00994</t>
  </si>
  <si>
    <t xml:space="preserve">CUST00995</t>
  </si>
  <si>
    <t xml:space="preserve">CUST00996</t>
  </si>
  <si>
    <t xml:space="preserve">CUST00997</t>
  </si>
  <si>
    <t xml:space="preserve">CUST00998</t>
  </si>
  <si>
    <t xml:space="preserve">CUST00999</t>
  </si>
  <si>
    <t xml:space="preserve">CUST01000</t>
  </si>
  <si>
    <t xml:space="preserve">CUST01001</t>
  </si>
  <si>
    <t xml:space="preserve">CUST01002</t>
  </si>
  <si>
    <t xml:space="preserve">CUST01003</t>
  </si>
  <si>
    <t xml:space="preserve">CUST01004</t>
  </si>
  <si>
    <t xml:space="preserve">CUST01005</t>
  </si>
  <si>
    <t xml:space="preserve">CUST01006</t>
  </si>
  <si>
    <t xml:space="preserve">CUST01007</t>
  </si>
  <si>
    <t xml:space="preserve">CUST01008</t>
  </si>
  <si>
    <t xml:space="preserve">CUST01009</t>
  </si>
  <si>
    <t xml:space="preserve">CUST01010</t>
  </si>
  <si>
    <t xml:space="preserve">CUST01011</t>
  </si>
  <si>
    <t xml:space="preserve">CUST01012</t>
  </si>
  <si>
    <t xml:space="preserve">CUST01013</t>
  </si>
  <si>
    <t xml:space="preserve">CUST01014</t>
  </si>
  <si>
    <t xml:space="preserve">CUST01015</t>
  </si>
  <si>
    <t xml:space="preserve">CUST01016</t>
  </si>
  <si>
    <t xml:space="preserve">CUST01017</t>
  </si>
  <si>
    <t xml:space="preserve">CUST01018</t>
  </si>
  <si>
    <t xml:space="preserve">CUST01019</t>
  </si>
  <si>
    <t xml:space="preserve">CUST01020</t>
  </si>
  <si>
    <t xml:space="preserve">CUST01021</t>
  </si>
  <si>
    <t xml:space="preserve">CUST01022</t>
  </si>
  <si>
    <t xml:space="preserve">CUST01023</t>
  </si>
  <si>
    <t xml:space="preserve">CUST01024</t>
  </si>
  <si>
    <t xml:space="preserve">CUST01025</t>
  </si>
  <si>
    <t xml:space="preserve">CUST01026</t>
  </si>
  <si>
    <t xml:space="preserve">CUST01027</t>
  </si>
  <si>
    <t xml:space="preserve">CUST01028</t>
  </si>
  <si>
    <t xml:space="preserve">CUST01029</t>
  </si>
  <si>
    <t xml:space="preserve">CUST01030</t>
  </si>
  <si>
    <t xml:space="preserve">CUST01031</t>
  </si>
  <si>
    <t xml:space="preserve">CUST01032</t>
  </si>
  <si>
    <t xml:space="preserve">CUST01033</t>
  </si>
  <si>
    <t xml:space="preserve">CUST01034</t>
  </si>
  <si>
    <t xml:space="preserve">CUST01035</t>
  </si>
  <si>
    <t xml:space="preserve">CUST01036</t>
  </si>
  <si>
    <t xml:space="preserve">CUST01037</t>
  </si>
  <si>
    <t xml:space="preserve">CUST01038</t>
  </si>
  <si>
    <t xml:space="preserve">CUST01039</t>
  </si>
  <si>
    <t xml:space="preserve">CUST01040</t>
  </si>
  <si>
    <t xml:space="preserve">CUST01041</t>
  </si>
  <si>
    <t xml:space="preserve">CUST01042</t>
  </si>
  <si>
    <t xml:space="preserve">CUST01043</t>
  </si>
  <si>
    <t xml:space="preserve">CUST01044</t>
  </si>
  <si>
    <t xml:space="preserve">CUST01045</t>
  </si>
  <si>
    <t xml:space="preserve">CUST01046</t>
  </si>
  <si>
    <t xml:space="preserve">CUST01047</t>
  </si>
  <si>
    <t xml:space="preserve">CUST01048</t>
  </si>
  <si>
    <t xml:space="preserve">CUST01049</t>
  </si>
  <si>
    <t xml:space="preserve">CUST01050</t>
  </si>
  <si>
    <t xml:space="preserve">CUST01051</t>
  </si>
  <si>
    <t xml:space="preserve">CUST01052</t>
  </si>
  <si>
    <t xml:space="preserve">CUST01053</t>
  </si>
  <si>
    <t xml:space="preserve">CUST01054</t>
  </si>
  <si>
    <t xml:space="preserve">CUST01055</t>
  </si>
  <si>
    <t xml:space="preserve">CUST01056</t>
  </si>
  <si>
    <t xml:space="preserve">CUST01057</t>
  </si>
  <si>
    <t xml:space="preserve">CUST01058</t>
  </si>
  <si>
    <t xml:space="preserve">CUST01059</t>
  </si>
  <si>
    <t xml:space="preserve">CUST01060</t>
  </si>
  <si>
    <t xml:space="preserve">CUST01061</t>
  </si>
  <si>
    <t xml:space="preserve">CUST01062</t>
  </si>
  <si>
    <t xml:space="preserve">CUST01063</t>
  </si>
  <si>
    <t xml:space="preserve">CUST01064</t>
  </si>
  <si>
    <t xml:space="preserve">CUST01065</t>
  </si>
  <si>
    <t xml:space="preserve">CUST01066</t>
  </si>
  <si>
    <t xml:space="preserve">CUST01067</t>
  </si>
  <si>
    <t xml:space="preserve">CUST01068</t>
  </si>
  <si>
    <t xml:space="preserve">CUST01069</t>
  </si>
  <si>
    <t xml:space="preserve">CUST01070</t>
  </si>
  <si>
    <t xml:space="preserve">CUST01071</t>
  </si>
  <si>
    <t xml:space="preserve">CUST01072</t>
  </si>
  <si>
    <t xml:space="preserve">CUST01073</t>
  </si>
  <si>
    <t xml:space="preserve">CUST01074</t>
  </si>
  <si>
    <t xml:space="preserve">CUST01075</t>
  </si>
  <si>
    <t xml:space="preserve">CUST01076</t>
  </si>
  <si>
    <t xml:space="preserve">CUST01077</t>
  </si>
  <si>
    <t xml:space="preserve">CUST01078</t>
  </si>
  <si>
    <t xml:space="preserve">CUST01079</t>
  </si>
  <si>
    <t xml:space="preserve">CUST01080</t>
  </si>
  <si>
    <t xml:space="preserve">CUST01081</t>
  </si>
  <si>
    <t xml:space="preserve">CUST01082</t>
  </si>
  <si>
    <t xml:space="preserve">CUST01083</t>
  </si>
  <si>
    <t xml:space="preserve">CUST01084</t>
  </si>
  <si>
    <t xml:space="preserve">CUST01085</t>
  </si>
  <si>
    <t xml:space="preserve">CUST01086</t>
  </si>
  <si>
    <t xml:space="preserve">CUST01087</t>
  </si>
  <si>
    <t xml:space="preserve">CUST01088</t>
  </si>
  <si>
    <t xml:space="preserve">CUST01089</t>
  </si>
  <si>
    <t xml:space="preserve">CUST01090</t>
  </si>
  <si>
    <t xml:space="preserve">CUST01091</t>
  </si>
  <si>
    <t xml:space="preserve">CUST01092</t>
  </si>
  <si>
    <t xml:space="preserve">CUST01093</t>
  </si>
  <si>
    <t xml:space="preserve">CUST01094</t>
  </si>
  <si>
    <t xml:space="preserve">CUST01095</t>
  </si>
  <si>
    <t xml:space="preserve">CUST01096</t>
  </si>
  <si>
    <t xml:space="preserve">CUST01097</t>
  </si>
  <si>
    <t xml:space="preserve">CUST01098</t>
  </si>
  <si>
    <t xml:space="preserve">CUST01099</t>
  </si>
  <si>
    <t xml:space="preserve">CUST01100</t>
  </si>
  <si>
    <t xml:space="preserve">CUST01101</t>
  </si>
  <si>
    <t xml:space="preserve">CUST01102</t>
  </si>
  <si>
    <t xml:space="preserve">CUST01103</t>
  </si>
  <si>
    <t xml:space="preserve">CUST01104</t>
  </si>
  <si>
    <t xml:space="preserve">CUST01105</t>
  </si>
  <si>
    <t xml:space="preserve">CUST01106</t>
  </si>
  <si>
    <t xml:space="preserve">CUST01107</t>
  </si>
  <si>
    <t xml:space="preserve">CUST01108</t>
  </si>
  <si>
    <t xml:space="preserve">CUST01109</t>
  </si>
  <si>
    <t xml:space="preserve">CUST01110</t>
  </si>
  <si>
    <t xml:space="preserve">CUST01111</t>
  </si>
  <si>
    <t xml:space="preserve">CUST01112</t>
  </si>
  <si>
    <t xml:space="preserve">CUST01113</t>
  </si>
  <si>
    <t xml:space="preserve">CUST01114</t>
  </si>
  <si>
    <t xml:space="preserve">CUST01115</t>
  </si>
  <si>
    <t xml:space="preserve">CUST01116</t>
  </si>
  <si>
    <t xml:space="preserve">CUST01117</t>
  </si>
  <si>
    <t xml:space="preserve">CUST01118</t>
  </si>
  <si>
    <t xml:space="preserve">CUST01119</t>
  </si>
  <si>
    <t xml:space="preserve">CUST01120</t>
  </si>
  <si>
    <t xml:space="preserve">CUST01121</t>
  </si>
  <si>
    <t xml:space="preserve">CUST01122</t>
  </si>
  <si>
    <t xml:space="preserve">CUST01123</t>
  </si>
  <si>
    <t xml:space="preserve">CUST01124</t>
  </si>
  <si>
    <t xml:space="preserve">CUST01125</t>
  </si>
  <si>
    <t xml:space="preserve">CUST01126</t>
  </si>
  <si>
    <t xml:space="preserve">CUST01127</t>
  </si>
  <si>
    <t xml:space="preserve">CUST01128</t>
  </si>
  <si>
    <t xml:space="preserve">CUST01129</t>
  </si>
  <si>
    <t xml:space="preserve">CUST01130</t>
  </si>
  <si>
    <t xml:space="preserve">CUST01131</t>
  </si>
  <si>
    <t xml:space="preserve">CUST01132</t>
  </si>
  <si>
    <t xml:space="preserve">CUST01133</t>
  </si>
  <si>
    <t xml:space="preserve">CUST01134</t>
  </si>
  <si>
    <t xml:space="preserve">CUST01135</t>
  </si>
  <si>
    <t xml:space="preserve">CUST01136</t>
  </si>
  <si>
    <t xml:space="preserve">CUST01137</t>
  </si>
  <si>
    <t xml:space="preserve">CUST01138</t>
  </si>
  <si>
    <t xml:space="preserve">CUST01139</t>
  </si>
  <si>
    <t xml:space="preserve">CUST01140</t>
  </si>
  <si>
    <t xml:space="preserve">CUST01141</t>
  </si>
  <si>
    <t xml:space="preserve">CUST01142</t>
  </si>
  <si>
    <t xml:space="preserve">CUST01143</t>
  </si>
  <si>
    <t xml:space="preserve">CUST01144</t>
  </si>
  <si>
    <t xml:space="preserve">CUST01145</t>
  </si>
  <si>
    <t xml:space="preserve">CUST01146</t>
  </si>
  <si>
    <t xml:space="preserve">CUST01147</t>
  </si>
  <si>
    <t xml:space="preserve">CUST01148</t>
  </si>
  <si>
    <t xml:space="preserve">CUST01149</t>
  </si>
  <si>
    <t xml:space="preserve">CUST01150</t>
  </si>
  <si>
    <t xml:space="preserve">CUST01151</t>
  </si>
  <si>
    <t xml:space="preserve">CUST01152</t>
  </si>
  <si>
    <t xml:space="preserve">CUST01153</t>
  </si>
  <si>
    <t xml:space="preserve">CUST01154</t>
  </si>
  <si>
    <t xml:space="preserve">CUST01155</t>
  </si>
  <si>
    <t xml:space="preserve">CUST01156</t>
  </si>
  <si>
    <t xml:space="preserve">CUST01157</t>
  </si>
  <si>
    <t xml:space="preserve">CUST01158</t>
  </si>
  <si>
    <t xml:space="preserve">CUST01159</t>
  </si>
  <si>
    <t xml:space="preserve">CUST01160</t>
  </si>
  <si>
    <t xml:space="preserve">CUST01161</t>
  </si>
  <si>
    <t xml:space="preserve">CUST01162</t>
  </si>
  <si>
    <t xml:space="preserve">CUST01163</t>
  </si>
  <si>
    <t xml:space="preserve">CUST01164</t>
  </si>
  <si>
    <t xml:space="preserve">CUST01165</t>
  </si>
  <si>
    <t xml:space="preserve">CUST01166</t>
  </si>
  <si>
    <t xml:space="preserve">CUST01167</t>
  </si>
  <si>
    <t xml:space="preserve">CUST01168</t>
  </si>
  <si>
    <t xml:space="preserve">CUST01169</t>
  </si>
  <si>
    <t xml:space="preserve">CUST01170</t>
  </si>
  <si>
    <t xml:space="preserve">CUST01171</t>
  </si>
  <si>
    <t xml:space="preserve">CUST01172</t>
  </si>
  <si>
    <t xml:space="preserve">CUST01173</t>
  </si>
  <si>
    <t xml:space="preserve">CUST01174</t>
  </si>
  <si>
    <t xml:space="preserve">CUST01175</t>
  </si>
  <si>
    <t xml:space="preserve">CUST01176</t>
  </si>
  <si>
    <t xml:space="preserve">CUST01177</t>
  </si>
  <si>
    <t xml:space="preserve">CUST01178</t>
  </si>
  <si>
    <t xml:space="preserve">CUST01179</t>
  </si>
  <si>
    <t xml:space="preserve">CUST01180</t>
  </si>
  <si>
    <t xml:space="preserve">CUST01181</t>
  </si>
  <si>
    <t xml:space="preserve">CUST01182</t>
  </si>
  <si>
    <t xml:space="preserve">CUST01183</t>
  </si>
  <si>
    <t xml:space="preserve">CUST01184</t>
  </si>
  <si>
    <t xml:space="preserve">CUST01185</t>
  </si>
  <si>
    <t xml:space="preserve">CUST01186</t>
  </si>
  <si>
    <t xml:space="preserve">CUST01187</t>
  </si>
  <si>
    <t xml:space="preserve">CUST01188</t>
  </si>
  <si>
    <t xml:space="preserve">CUST01189</t>
  </si>
  <si>
    <t xml:space="preserve">CUST01190</t>
  </si>
  <si>
    <t xml:space="preserve">CUST01191</t>
  </si>
  <si>
    <t xml:space="preserve">CUST01192</t>
  </si>
  <si>
    <t xml:space="preserve">CUST01193</t>
  </si>
  <si>
    <t xml:space="preserve">CUST01194</t>
  </si>
  <si>
    <t xml:space="preserve">CUST01195</t>
  </si>
  <si>
    <t xml:space="preserve">CUST01196</t>
  </si>
  <si>
    <t xml:space="preserve">CUST01197</t>
  </si>
  <si>
    <t xml:space="preserve">CUST01198</t>
  </si>
  <si>
    <t xml:space="preserve">CUST01199</t>
  </si>
  <si>
    <t xml:space="preserve">CUST01200</t>
  </si>
  <si>
    <t xml:space="preserve">CUST01201</t>
  </si>
  <si>
    <t xml:space="preserve">CUST01202</t>
  </si>
  <si>
    <t xml:space="preserve">CUST01203</t>
  </si>
  <si>
    <t xml:space="preserve">CUST01204</t>
  </si>
  <si>
    <t xml:space="preserve">CUST01205</t>
  </si>
  <si>
    <t xml:space="preserve">CUST01206</t>
  </si>
  <si>
    <t xml:space="preserve">CUST01207</t>
  </si>
  <si>
    <t xml:space="preserve">CUST01208</t>
  </si>
  <si>
    <t xml:space="preserve">CUST01209</t>
  </si>
  <si>
    <t xml:space="preserve">CUST01210</t>
  </si>
  <si>
    <t xml:space="preserve">CUST01211</t>
  </si>
  <si>
    <t xml:space="preserve">CUST01212</t>
  </si>
  <si>
    <t xml:space="preserve">CUST01213</t>
  </si>
  <si>
    <t xml:space="preserve">CUST01214</t>
  </si>
  <si>
    <t xml:space="preserve">CUST01215</t>
  </si>
  <si>
    <t xml:space="preserve">CUST01216</t>
  </si>
  <si>
    <t xml:space="preserve">CUST01217</t>
  </si>
  <si>
    <t xml:space="preserve">CUST01218</t>
  </si>
  <si>
    <t xml:space="preserve">CUST01219</t>
  </si>
  <si>
    <t xml:space="preserve">CUST01220</t>
  </si>
  <si>
    <t xml:space="preserve">CUST01221</t>
  </si>
  <si>
    <t xml:space="preserve">CUST01222</t>
  </si>
  <si>
    <t xml:space="preserve">CUST01223</t>
  </si>
  <si>
    <t xml:space="preserve">CUST01224</t>
  </si>
  <si>
    <t xml:space="preserve">CUST01225</t>
  </si>
  <si>
    <t xml:space="preserve">CUST01226</t>
  </si>
  <si>
    <t xml:space="preserve">CUST01227</t>
  </si>
  <si>
    <t xml:space="preserve">CUST01228</t>
  </si>
  <si>
    <t xml:space="preserve">CUST01229</t>
  </si>
  <si>
    <t xml:space="preserve">CUST01230</t>
  </si>
  <si>
    <t xml:space="preserve">CUST01231</t>
  </si>
  <si>
    <t xml:space="preserve">CUST01232</t>
  </si>
  <si>
    <t xml:space="preserve">CUST01233</t>
  </si>
  <si>
    <t xml:space="preserve">CUST01234</t>
  </si>
  <si>
    <t xml:space="preserve">CUST01235</t>
  </si>
  <si>
    <t xml:space="preserve">CUST01236</t>
  </si>
  <si>
    <t xml:space="preserve">CUST01237</t>
  </si>
  <si>
    <t xml:space="preserve">CUST01238</t>
  </si>
  <si>
    <t xml:space="preserve">CUST01239</t>
  </si>
  <si>
    <t xml:space="preserve">CUST01240</t>
  </si>
  <si>
    <t xml:space="preserve">CUST01241</t>
  </si>
  <si>
    <t xml:space="preserve">CUST01242</t>
  </si>
  <si>
    <t xml:space="preserve">CUST01243</t>
  </si>
  <si>
    <t xml:space="preserve">CUST01244</t>
  </si>
  <si>
    <t xml:space="preserve">CUST01245</t>
  </si>
  <si>
    <t xml:space="preserve">CUST01246</t>
  </si>
  <si>
    <t xml:space="preserve">CUST01247</t>
  </si>
  <si>
    <t xml:space="preserve">CUST01248</t>
  </si>
  <si>
    <t xml:space="preserve">CUST01249</t>
  </si>
  <si>
    <t xml:space="preserve">CUST01250</t>
  </si>
  <si>
    <t xml:space="preserve">CUST01251</t>
  </si>
  <si>
    <t xml:space="preserve">CUST01252</t>
  </si>
  <si>
    <t xml:space="preserve">CUST01253</t>
  </si>
  <si>
    <t xml:space="preserve">CUST01254</t>
  </si>
  <si>
    <t xml:space="preserve">CUST01255</t>
  </si>
  <si>
    <t xml:space="preserve">CUST01256</t>
  </si>
  <si>
    <t xml:space="preserve">CUST01257</t>
  </si>
  <si>
    <t xml:space="preserve">CUST01258</t>
  </si>
  <si>
    <t xml:space="preserve">CUST01259</t>
  </si>
  <si>
    <t xml:space="preserve">CUST01260</t>
  </si>
  <si>
    <t xml:space="preserve">CUST01261</t>
  </si>
  <si>
    <t xml:space="preserve">CUST01262</t>
  </si>
  <si>
    <t xml:space="preserve">CUST01263</t>
  </si>
  <si>
    <t xml:space="preserve">CUST01264</t>
  </si>
  <si>
    <t xml:space="preserve">CUST01265</t>
  </si>
  <si>
    <t xml:space="preserve">CUST01266</t>
  </si>
  <si>
    <t xml:space="preserve">CUST01267</t>
  </si>
  <si>
    <t xml:space="preserve">CUST01268</t>
  </si>
  <si>
    <t xml:space="preserve">CUST01269</t>
  </si>
  <si>
    <t xml:space="preserve">CUST01270</t>
  </si>
  <si>
    <t xml:space="preserve">CUST01271</t>
  </si>
  <si>
    <t xml:space="preserve">CUST01272</t>
  </si>
  <si>
    <t xml:space="preserve">CUST01273</t>
  </si>
  <si>
    <t xml:space="preserve">CUST01274</t>
  </si>
  <si>
    <t xml:space="preserve">CUST01275</t>
  </si>
  <si>
    <t xml:space="preserve">CUST01276</t>
  </si>
  <si>
    <t xml:space="preserve">CUST01277</t>
  </si>
  <si>
    <t xml:space="preserve">CUST01278</t>
  </si>
  <si>
    <t xml:space="preserve">CUST01279</t>
  </si>
  <si>
    <t xml:space="preserve">CUST01280</t>
  </si>
  <si>
    <t xml:space="preserve">CUST01281</t>
  </si>
  <si>
    <t xml:space="preserve">CUST01282</t>
  </si>
  <si>
    <t xml:space="preserve">CUST01283</t>
  </si>
  <si>
    <t xml:space="preserve">CUST01284</t>
  </si>
  <si>
    <t xml:space="preserve">CUST01285</t>
  </si>
  <si>
    <t xml:space="preserve">CUST01286</t>
  </si>
  <si>
    <t xml:space="preserve">CUST01287</t>
  </si>
  <si>
    <t xml:space="preserve">CUST01288</t>
  </si>
  <si>
    <t xml:space="preserve">CUST01289</t>
  </si>
  <si>
    <t xml:space="preserve">CUST01290</t>
  </si>
  <si>
    <t xml:space="preserve">CUST01291</t>
  </si>
  <si>
    <t xml:space="preserve">CUST01292</t>
  </si>
  <si>
    <t xml:space="preserve">CUST01293</t>
  </si>
  <si>
    <t xml:space="preserve">CUST01294</t>
  </si>
  <si>
    <t xml:space="preserve">CUST01295</t>
  </si>
  <si>
    <t xml:space="preserve">CUST01296</t>
  </si>
  <si>
    <t xml:space="preserve">CUST01297</t>
  </si>
  <si>
    <t xml:space="preserve">CUST01298</t>
  </si>
  <si>
    <t xml:space="preserve">CUST01299</t>
  </si>
  <si>
    <t xml:space="preserve">CUST01300</t>
  </si>
  <si>
    <t xml:space="preserve">CUST01301</t>
  </si>
  <si>
    <t xml:space="preserve">CUST01302</t>
  </si>
  <si>
    <t xml:space="preserve">CUST01303</t>
  </si>
  <si>
    <t xml:space="preserve">CUST01304</t>
  </si>
  <si>
    <t xml:space="preserve">CUST01305</t>
  </si>
  <si>
    <t xml:space="preserve">CUST01306</t>
  </si>
  <si>
    <t xml:space="preserve">CUST01307</t>
  </si>
  <si>
    <t xml:space="preserve">CUST01308</t>
  </si>
  <si>
    <t xml:space="preserve">CUST01309</t>
  </si>
  <si>
    <t xml:space="preserve">CUST01310</t>
  </si>
  <si>
    <t xml:space="preserve">CUST01311</t>
  </si>
  <si>
    <t xml:space="preserve">CUST01312</t>
  </si>
  <si>
    <t xml:space="preserve">CUST01313</t>
  </si>
  <si>
    <t xml:space="preserve">CUST01314</t>
  </si>
  <si>
    <t xml:space="preserve">CUST01315</t>
  </si>
  <si>
    <t xml:space="preserve">CUST01316</t>
  </si>
  <si>
    <t xml:space="preserve">CUST01317</t>
  </si>
  <si>
    <t xml:space="preserve">CUST01318</t>
  </si>
  <si>
    <t xml:space="preserve">CUST01319</t>
  </si>
  <si>
    <t xml:space="preserve">CUST01320</t>
  </si>
  <si>
    <t xml:space="preserve">CUST01321</t>
  </si>
  <si>
    <t xml:space="preserve">CUST01322</t>
  </si>
  <si>
    <t xml:space="preserve">CUST01323</t>
  </si>
  <si>
    <t xml:space="preserve">CUST01324</t>
  </si>
  <si>
    <t xml:space="preserve">CUST01325</t>
  </si>
  <si>
    <t xml:space="preserve">CUST01326</t>
  </si>
  <si>
    <t xml:space="preserve">CUST01327</t>
  </si>
  <si>
    <t xml:space="preserve">CUST01328</t>
  </si>
  <si>
    <t xml:space="preserve">CUST01329</t>
  </si>
  <si>
    <t xml:space="preserve">CUST01330</t>
  </si>
  <si>
    <t xml:space="preserve">CUST01331</t>
  </si>
  <si>
    <t xml:space="preserve">CUST01332</t>
  </si>
  <si>
    <t xml:space="preserve">CUST01333</t>
  </si>
  <si>
    <t xml:space="preserve">CUST01334</t>
  </si>
  <si>
    <t xml:space="preserve">CUST01335</t>
  </si>
  <si>
    <t xml:space="preserve">CUST01336</t>
  </si>
  <si>
    <t xml:space="preserve">CUST01337</t>
  </si>
  <si>
    <t xml:space="preserve">CUST01338</t>
  </si>
  <si>
    <t xml:space="preserve">CUST01339</t>
  </si>
  <si>
    <t xml:space="preserve">CUST01340</t>
  </si>
  <si>
    <t xml:space="preserve">CUST01341</t>
  </si>
  <si>
    <t xml:space="preserve">CUST01342</t>
  </si>
  <si>
    <t xml:space="preserve">CUST01343</t>
  </si>
  <si>
    <t xml:space="preserve">CUST01344</t>
  </si>
  <si>
    <t xml:space="preserve">CUST01345</t>
  </si>
  <si>
    <t xml:space="preserve">CUST01346</t>
  </si>
  <si>
    <t xml:space="preserve">CUST01347</t>
  </si>
  <si>
    <t xml:space="preserve">CUST01348</t>
  </si>
  <si>
    <t xml:space="preserve">CUST01349</t>
  </si>
  <si>
    <t xml:space="preserve">CUST01350</t>
  </si>
  <si>
    <t xml:space="preserve">CUST01351</t>
  </si>
  <si>
    <t xml:space="preserve">CUST01352</t>
  </si>
  <si>
    <t xml:space="preserve">CUST01353</t>
  </si>
  <si>
    <t xml:space="preserve">CUST01354</t>
  </si>
  <si>
    <t xml:space="preserve">CUST01355</t>
  </si>
  <si>
    <t xml:space="preserve">CUST01356</t>
  </si>
  <si>
    <t xml:space="preserve">CUST01357</t>
  </si>
  <si>
    <t xml:space="preserve">CUST01358</t>
  </si>
  <si>
    <t xml:space="preserve">CUST01359</t>
  </si>
  <si>
    <t xml:space="preserve">CUST01360</t>
  </si>
  <si>
    <t xml:space="preserve">CUST01361</t>
  </si>
  <si>
    <t xml:space="preserve">CUST01362</t>
  </si>
  <si>
    <t xml:space="preserve">CUST01363</t>
  </si>
  <si>
    <t xml:space="preserve">CUST01364</t>
  </si>
  <si>
    <t xml:space="preserve">CUST01365</t>
  </si>
  <si>
    <t xml:space="preserve">CUST01366</t>
  </si>
  <si>
    <t xml:space="preserve">CUST01367</t>
  </si>
  <si>
    <t xml:space="preserve">CUST01368</t>
  </si>
  <si>
    <t xml:space="preserve">CUST01369</t>
  </si>
  <si>
    <t xml:space="preserve">CUST01370</t>
  </si>
  <si>
    <t xml:space="preserve">CUST01371</t>
  </si>
  <si>
    <t xml:space="preserve">CUST01372</t>
  </si>
  <si>
    <t xml:space="preserve">CUST01373</t>
  </si>
  <si>
    <t xml:space="preserve">CUST01374</t>
  </si>
  <si>
    <t xml:space="preserve">CUST01375</t>
  </si>
  <si>
    <t xml:space="preserve">CUST01376</t>
  </si>
  <si>
    <t xml:space="preserve">CUST01377</t>
  </si>
  <si>
    <t xml:space="preserve">CUST01378</t>
  </si>
  <si>
    <t xml:space="preserve">CUST01379</t>
  </si>
  <si>
    <t xml:space="preserve">CUST01380</t>
  </si>
  <si>
    <t xml:space="preserve">CUST01381</t>
  </si>
  <si>
    <t xml:space="preserve">CUST01382</t>
  </si>
  <si>
    <t xml:space="preserve">CUST01383</t>
  </si>
  <si>
    <t xml:space="preserve">CUST01384</t>
  </si>
  <si>
    <t xml:space="preserve">CUST01385</t>
  </si>
  <si>
    <t xml:space="preserve">CUST01386</t>
  </si>
  <si>
    <t xml:space="preserve">CUST01387</t>
  </si>
  <si>
    <t xml:space="preserve">CUST01388</t>
  </si>
  <si>
    <t xml:space="preserve">CUST01389</t>
  </si>
  <si>
    <t xml:space="preserve">CUST01390</t>
  </si>
  <si>
    <t xml:space="preserve">CUST01391</t>
  </si>
  <si>
    <t xml:space="preserve">CUST01392</t>
  </si>
  <si>
    <t xml:space="preserve">CUST01393</t>
  </si>
  <si>
    <t xml:space="preserve">CUST01394</t>
  </si>
  <si>
    <t xml:space="preserve">CUST01395</t>
  </si>
  <si>
    <t xml:space="preserve">CUST01396</t>
  </si>
  <si>
    <t xml:space="preserve">CUST01397</t>
  </si>
  <si>
    <t xml:space="preserve">CUST01398</t>
  </si>
  <si>
    <t xml:space="preserve">CUST01399</t>
  </si>
  <si>
    <t xml:space="preserve">CUST01400</t>
  </si>
  <si>
    <t xml:space="preserve">CUST01401</t>
  </si>
  <si>
    <t xml:space="preserve">CUST01402</t>
  </si>
  <si>
    <t xml:space="preserve">CUST01403</t>
  </si>
  <si>
    <t xml:space="preserve">CUST01404</t>
  </si>
  <si>
    <t xml:space="preserve">CUST01405</t>
  </si>
  <si>
    <t xml:space="preserve">CUST01406</t>
  </si>
  <si>
    <t xml:space="preserve">CUST01407</t>
  </si>
  <si>
    <t xml:space="preserve">CUST01408</t>
  </si>
  <si>
    <t xml:space="preserve">CUST01409</t>
  </si>
  <si>
    <t xml:space="preserve">CUST01410</t>
  </si>
  <si>
    <t xml:space="preserve">CUST01411</t>
  </si>
  <si>
    <t xml:space="preserve">CUST01412</t>
  </si>
  <si>
    <t xml:space="preserve">CUST01413</t>
  </si>
  <si>
    <t xml:space="preserve">CUST01414</t>
  </si>
  <si>
    <t xml:space="preserve">CUST01415</t>
  </si>
  <si>
    <t xml:space="preserve">CUST01416</t>
  </si>
  <si>
    <t xml:space="preserve">CUST01417</t>
  </si>
  <si>
    <t xml:space="preserve">CUST01418</t>
  </si>
  <si>
    <t xml:space="preserve">CUST01419</t>
  </si>
  <si>
    <t xml:space="preserve">CUST01420</t>
  </si>
  <si>
    <t xml:space="preserve">CUST01421</t>
  </si>
  <si>
    <t xml:space="preserve">CUST01422</t>
  </si>
  <si>
    <t xml:space="preserve">CUST01423</t>
  </si>
  <si>
    <t xml:space="preserve">CUST01424</t>
  </si>
  <si>
    <t xml:space="preserve">CUST01425</t>
  </si>
  <si>
    <t xml:space="preserve">CUST01426</t>
  </si>
  <si>
    <t xml:space="preserve">CUST01427</t>
  </si>
  <si>
    <t xml:space="preserve">CUST01428</t>
  </si>
  <si>
    <t xml:space="preserve">CUST01429</t>
  </si>
  <si>
    <t xml:space="preserve">CUST01430</t>
  </si>
  <si>
    <t xml:space="preserve">CUST01431</t>
  </si>
  <si>
    <t xml:space="preserve">CUST01432</t>
  </si>
  <si>
    <t xml:space="preserve">CUST01433</t>
  </si>
  <si>
    <t xml:space="preserve">CUST01434</t>
  </si>
  <si>
    <t xml:space="preserve">CUST01435</t>
  </si>
  <si>
    <t xml:space="preserve">CUST01436</t>
  </si>
  <si>
    <t xml:space="preserve">CUST01437</t>
  </si>
  <si>
    <t xml:space="preserve">CUST01438</t>
  </si>
  <si>
    <t xml:space="preserve">CUST01439</t>
  </si>
  <si>
    <t xml:space="preserve">CUST01440</t>
  </si>
  <si>
    <t xml:space="preserve">CUST01441</t>
  </si>
  <si>
    <t xml:space="preserve">CUST01442</t>
  </si>
  <si>
    <t xml:space="preserve">CUST01443</t>
  </si>
  <si>
    <t xml:space="preserve">CUST01444</t>
  </si>
  <si>
    <t xml:space="preserve">CUST01445</t>
  </si>
  <si>
    <t xml:space="preserve">CUST01446</t>
  </si>
  <si>
    <t xml:space="preserve">CUST01447</t>
  </si>
  <si>
    <t xml:space="preserve">CUST01448</t>
  </si>
  <si>
    <t xml:space="preserve">CUST01449</t>
  </si>
  <si>
    <t xml:space="preserve">CUST01450</t>
  </si>
  <si>
    <t xml:space="preserve">CUST01451</t>
  </si>
  <si>
    <t xml:space="preserve">CUST01452</t>
  </si>
  <si>
    <t xml:space="preserve">CUST01453</t>
  </si>
  <si>
    <t xml:space="preserve">CUST01454</t>
  </si>
  <si>
    <t xml:space="preserve">CUST01455</t>
  </si>
  <si>
    <t xml:space="preserve">CUST01456</t>
  </si>
  <si>
    <t xml:space="preserve">CUST01457</t>
  </si>
  <si>
    <t xml:space="preserve">CUST01458</t>
  </si>
  <si>
    <t xml:space="preserve">CUST01459</t>
  </si>
  <si>
    <t xml:space="preserve">CUST01460</t>
  </si>
  <si>
    <t xml:space="preserve">CUST01461</t>
  </si>
  <si>
    <t xml:space="preserve">CUST01462</t>
  </si>
  <si>
    <t xml:space="preserve">CUST01463</t>
  </si>
  <si>
    <t xml:space="preserve">CUST01464</t>
  </si>
  <si>
    <t xml:space="preserve">CUST01465</t>
  </si>
  <si>
    <t xml:space="preserve">CUST01466</t>
  </si>
  <si>
    <t xml:space="preserve">CUST01467</t>
  </si>
  <si>
    <t xml:space="preserve">CUST01468</t>
  </si>
  <si>
    <t xml:space="preserve">CUST01469</t>
  </si>
  <si>
    <t xml:space="preserve">CUST01470</t>
  </si>
  <si>
    <t xml:space="preserve">CUST01471</t>
  </si>
  <si>
    <t xml:space="preserve">CUST01472</t>
  </si>
  <si>
    <t xml:space="preserve">CUST01473</t>
  </si>
  <si>
    <t xml:space="preserve">CUST01474</t>
  </si>
  <si>
    <t xml:space="preserve">CUST01475</t>
  </si>
  <si>
    <t xml:space="preserve">CUST01476</t>
  </si>
  <si>
    <t xml:space="preserve">CUST01477</t>
  </si>
  <si>
    <t xml:space="preserve">CUST01478</t>
  </si>
  <si>
    <t xml:space="preserve">CUST01479</t>
  </si>
  <si>
    <t xml:space="preserve">CUST01480</t>
  </si>
  <si>
    <t xml:space="preserve">CUST01481</t>
  </si>
  <si>
    <t xml:space="preserve">CUST01482</t>
  </si>
  <si>
    <t xml:space="preserve">CUST01483</t>
  </si>
  <si>
    <t xml:space="preserve">CUST01484</t>
  </si>
  <si>
    <t xml:space="preserve">CUST01485</t>
  </si>
  <si>
    <t xml:space="preserve">CUST01486</t>
  </si>
  <si>
    <t xml:space="preserve">CUST01487</t>
  </si>
  <si>
    <t xml:space="preserve">CUST01488</t>
  </si>
  <si>
    <t xml:space="preserve">CUST01489</t>
  </si>
  <si>
    <t xml:space="preserve">CUST01490</t>
  </si>
  <si>
    <t xml:space="preserve">CUST01491</t>
  </si>
  <si>
    <t xml:space="preserve">CUST01492</t>
  </si>
  <si>
    <t xml:space="preserve">CUST01493</t>
  </si>
  <si>
    <t xml:space="preserve">CUST01494</t>
  </si>
  <si>
    <t xml:space="preserve">CUST01495</t>
  </si>
  <si>
    <t xml:space="preserve">CUST01496</t>
  </si>
  <si>
    <t xml:space="preserve">CUST01497</t>
  </si>
  <si>
    <t xml:space="preserve">CUST01498</t>
  </si>
  <si>
    <t xml:space="preserve">CUST01499</t>
  </si>
  <si>
    <t xml:space="preserve">CUST01500</t>
  </si>
  <si>
    <t xml:space="preserve">Portfolio Performance by Card Type</t>
  </si>
  <si>
    <t xml:space="preserve">Live formulas: COUNTIF / SUMIF against the 'Data' sheet's Customer Summary table (1,500 rows).</t>
  </si>
  <si>
    <t xml:space="preserve">Card Type</t>
  </si>
  <si>
    <t xml:space="preserve">Customers</t>
  </si>
  <si>
    <t xml:space="preserve">Total Spend (Rs)</t>
  </si>
  <si>
    <t xml:space="preserve">Avg Lifetime Spend/Customer (Rs)</t>
  </si>
  <si>
    <t xml:space="preserve">Total</t>
  </si>
  <si>
    <t xml:space="preserve">Fraud Rate by Merchant Category</t>
  </si>
  <si>
    <t xml:space="preserve">Live formulas referencing the 'Data' sheet's Fraud-by-Category table.</t>
  </si>
  <si>
    <t xml:space="preserve">Merchant Category</t>
  </si>
  <si>
    <t xml:space="preserve">Total Txns</t>
  </si>
  <si>
    <t xml:space="preserve">Fraud Txns</t>
  </si>
  <si>
    <t xml:space="preserve">Fraud Rate %</t>
  </si>
  <si>
    <t xml:space="preserve">Highest-risk category:</t>
  </si>
  <si>
    <t xml:space="preserve">Customer Churn-Risk Register (Model Output, Top 30)</t>
  </si>
  <si>
    <t xml:space="preserve">Source: Random Forest classifier scored on all 1,500 customers; risk_score &gt;= 0.5 flagged HIGH RISK.</t>
  </si>
  <si>
    <t xml:space="preserve">Customer ID</t>
  </si>
  <si>
    <t xml:space="preserve">Momentum %</t>
  </si>
  <si>
    <t xml:space="preserve">Dormant Months</t>
  </si>
  <si>
    <t xml:space="preserve">Risk Score</t>
  </si>
  <si>
    <t xml:space="preserve">Flag</t>
  </si>
  <si>
    <t xml:space="preserve">HIGH RISK</t>
  </si>
  <si>
    <t xml:space="preserve">Total flagged HIGH RISK (this list):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</si>
</sst>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0\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D9E2F3"/>
      <name val="Arial"/>
      <family val="0"/>
      <charset val="1"/>
    </font>
    <font>
      <b val="true"/>
      <sz val="12"/>
      <color rgb="FF00175A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6FC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6"/>
      <color rgb="FF00175A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C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175A"/>
        <bgColor rgb="FF000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175A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D9E2F3"/>
      <rgbColor rgb="FF660066"/>
      <rgbColor rgb="FFFF8080"/>
      <rgbColor rgb="FF006FCF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4F81BD"/>
      <rgbColor rgb="FF878787"/>
      <rgbColor rgb="FF003366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Avg Lifetime Spend per Customer by Card Type (Rs)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'Portfolio Performance'!E5</c:f>
              <c:strCache>
                <c:ptCount val="1"/>
                <c:pt idx="0">
                  <c:v>Avg Lifetime Spend/Customer (Rs)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'Portfolio Performance'!$B$6:$B$9</c:f>
              <c:strCache>
                <c:ptCount val="4"/>
                <c:pt idx="0">
                  <c:v>Centurion</c:v>
                </c:pt>
                <c:pt idx="1">
                  <c:v>Platinum</c:v>
                </c:pt>
                <c:pt idx="2">
                  <c:v>Gold</c:v>
                </c:pt>
                <c:pt idx="3">
                  <c:v>Green</c:v>
                </c:pt>
              </c:strCache>
            </c:strRef>
          </c:cat>
          <c:val>
            <c:numRef>
              <c:f>'Portfolio Performance'!$E$6:$E$9</c:f>
              <c:numCache>
                <c:formatCode>#,##0</c:formatCode>
                <c:ptCount val="4"/>
                <c:pt idx="0">
                  <c:v>2723865.45747126</c:v>
                </c:pt>
                <c:pt idx="1">
                  <c:v>1407702.21600671</c:v>
                </c:pt>
                <c:pt idx="2">
                  <c:v>764315.913640449</c:v>
                </c:pt>
                <c:pt idx="3">
                  <c:v>549884.939820896</c:v>
                </c:pt>
              </c:numCache>
            </c:numRef>
          </c:val>
        </c:ser>
        <c:gapWidth val="150"/>
        <c:overlap val="0"/>
        <c:axId val="85685887"/>
        <c:axId val="76638036"/>
      </c:barChart>
      <c:catAx>
        <c:axId val="85685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638036"/>
        <c:crosses val="autoZero"/>
        <c:auto val="1"/>
        <c:lblAlgn val="ctr"/>
        <c:lblOffset val="100"/>
        <c:noMultiLvlLbl val="0"/>
      </c:catAx>
      <c:valAx>
        <c:axId val="766380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6858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Fraud Rate % by Merchant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'Fraud Risk Summary'!E5</c:f>
              <c:strCache>
                <c:ptCount val="1"/>
                <c:pt idx="0">
                  <c:v>Fraud Rate %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'Fraud Risk Summary'!$B$6:$B$15</c:f>
              <c:strCache>
                <c:ptCount val="10"/>
                <c:pt idx="0">
                  <c:v>Dining</c:v>
                </c:pt>
                <c:pt idx="1">
                  <c:v>Electronics</c:v>
                </c:pt>
                <c:pt idx="2">
                  <c:v>Entertainment</c:v>
                </c:pt>
                <c:pt idx="3">
                  <c:v>Fuel</c:v>
                </c:pt>
                <c:pt idx="4">
                  <c:v>Grocery</c:v>
                </c:pt>
                <c:pt idx="5">
                  <c:v>Healthcare</c:v>
                </c:pt>
                <c:pt idx="6">
                  <c:v>Jewellery</c:v>
                </c:pt>
                <c:pt idx="7">
                  <c:v>Online Shopping</c:v>
                </c:pt>
                <c:pt idx="8">
                  <c:v>Travel</c:v>
                </c:pt>
                <c:pt idx="9">
                  <c:v>Utilities</c:v>
                </c:pt>
              </c:strCache>
            </c:strRef>
          </c:cat>
          <c:val>
            <c:numRef>
              <c:f>'Fraud Risk Summary'!$E$6:$E$15</c:f>
              <c:numCache>
                <c:formatCode>0.00\%</c:formatCode>
                <c:ptCount val="10"/>
                <c:pt idx="0">
                  <c:v>1.07508819082815</c:v>
                </c:pt>
                <c:pt idx="1">
                  <c:v>1.20681104314763</c:v>
                </c:pt>
                <c:pt idx="2">
                  <c:v>1.24831309041835</c:v>
                </c:pt>
                <c:pt idx="3">
                  <c:v>1.06635071090047</c:v>
                </c:pt>
                <c:pt idx="4">
                  <c:v>1.17452440033085</c:v>
                </c:pt>
                <c:pt idx="5">
                  <c:v>1.37032085561497</c:v>
                </c:pt>
                <c:pt idx="6">
                  <c:v>1.25104253544621</c:v>
                </c:pt>
                <c:pt idx="7">
                  <c:v>1.18753092528451</c:v>
                </c:pt>
                <c:pt idx="8">
                  <c:v>1.09459238686489</c:v>
                </c:pt>
                <c:pt idx="9">
                  <c:v>1.02452133019819</c:v>
                </c:pt>
              </c:numCache>
            </c:numRef>
          </c:val>
        </c:ser>
        <c:gapWidth val="150"/>
        <c:overlap val="0"/>
        <c:axId val="41220692"/>
        <c:axId val="72597037"/>
      </c:barChart>
      <c:catAx>
        <c:axId val="412206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597037"/>
        <c:crosses val="autoZero"/>
        <c:auto val="1"/>
        <c:lblAlgn val="ctr"/>
        <c:lblOffset val="100"/>
        <c:noMultiLvlLbl val="0"/>
      </c:catAx>
      <c:valAx>
        <c:axId val="725970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\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2206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130680</xdr:rowOff>
    </xdr:from>
    <xdr:to>
      <xdr:col>6</xdr:col>
      <xdr:colOff>229320</xdr:colOff>
      <xdr:row>30</xdr:row>
      <xdr:rowOff>110880</xdr:rowOff>
    </xdr:to>
    <xdr:graphicFrame>
      <xdr:nvGraphicFramePr>
        <xdr:cNvPr id="0" name="Chart 1"/>
        <xdr:cNvGraphicFramePr/>
      </xdr:nvGraphicFramePr>
      <xdr:xfrm>
        <a:off x="211320" y="247644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17</xdr:row>
      <xdr:rowOff>130680</xdr:rowOff>
    </xdr:from>
    <xdr:to>
      <xdr:col>9</xdr:col>
      <xdr:colOff>383400</xdr:colOff>
      <xdr:row>40</xdr:row>
      <xdr:rowOff>69120</xdr:rowOff>
    </xdr:to>
    <xdr:graphicFrame>
      <xdr:nvGraphicFramePr>
        <xdr:cNvPr id="1" name="Chart 1"/>
        <xdr:cNvGraphicFramePr/>
      </xdr:nvGraphicFramePr>
      <xdr:xfrm>
        <a:off x="211320" y="3429000"/>
        <a:ext cx="719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175A"/>
    <pageSetUpPr fitToPage="false"/>
  </sheetPr>
  <dimension ref="B2:I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9" min="3" style="0" width="13"/>
  </cols>
  <sheetData>
    <row r="2" customFormat="false" ht="31.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</row>
    <row r="3" customFormat="false" ht="19.5" hidden="false" customHeight="true" outlineLevel="0" collapsed="false">
      <c r="B3" s="2" t="s">
        <v>1</v>
      </c>
      <c r="C3" s="2"/>
      <c r="D3" s="2"/>
      <c r="E3" s="2"/>
      <c r="F3" s="2"/>
      <c r="G3" s="2"/>
      <c r="H3" s="2"/>
      <c r="I3" s="2"/>
    </row>
    <row r="5" customFormat="false" ht="15" hidden="false" customHeight="false" outlineLevel="0" collapsed="false">
      <c r="B5" s="3" t="s">
        <v>2</v>
      </c>
    </row>
    <row r="6" customFormat="false" ht="45" hidden="false" customHeight="true" outlineLevel="0" collapsed="false">
      <c r="B6" s="4" t="s">
        <v>3</v>
      </c>
      <c r="C6" s="4"/>
      <c r="D6" s="4"/>
      <c r="E6" s="4"/>
      <c r="F6" s="4"/>
      <c r="G6" s="4"/>
      <c r="H6" s="4"/>
      <c r="I6" s="4"/>
    </row>
    <row r="8" customFormat="false" ht="15" hidden="false" customHeight="false" outlineLevel="0" collapsed="false">
      <c r="B8" s="3" t="s">
        <v>4</v>
      </c>
    </row>
    <row r="9" customFormat="false" ht="18" hidden="false" customHeight="true" outlineLevel="0" collapsed="false">
      <c r="B9" s="5" t="s">
        <v>5</v>
      </c>
      <c r="C9" s="5"/>
      <c r="D9" s="5"/>
      <c r="E9" s="5"/>
      <c r="F9" s="5"/>
      <c r="G9" s="5"/>
      <c r="H9" s="5"/>
      <c r="I9" s="5"/>
    </row>
    <row r="10" customFormat="false" ht="18" hidden="false" customHeight="true" outlineLevel="0" collapsed="false">
      <c r="B10" s="5" t="s">
        <v>6</v>
      </c>
      <c r="C10" s="5"/>
      <c r="D10" s="5"/>
      <c r="E10" s="5"/>
      <c r="F10" s="5"/>
      <c r="G10" s="5"/>
      <c r="H10" s="5"/>
      <c r="I10" s="5"/>
    </row>
    <row r="11" customFormat="false" ht="18" hidden="false" customHeight="true" outlineLevel="0" collapsed="false">
      <c r="B11" s="5" t="s">
        <v>7</v>
      </c>
      <c r="C11" s="5"/>
      <c r="D11" s="5"/>
      <c r="E11" s="5"/>
      <c r="F11" s="5"/>
      <c r="G11" s="5"/>
      <c r="H11" s="5"/>
      <c r="I11" s="5"/>
    </row>
    <row r="12" customFormat="false" ht="18" hidden="false" customHeight="true" outlineLevel="0" collapsed="false">
      <c r="B12" s="5" t="s">
        <v>8</v>
      </c>
      <c r="C12" s="5"/>
      <c r="D12" s="5"/>
      <c r="E12" s="5"/>
      <c r="F12" s="5"/>
      <c r="G12" s="5"/>
      <c r="H12" s="5"/>
      <c r="I12" s="5"/>
    </row>
    <row r="13" customFormat="false" ht="18" hidden="false" customHeight="true" outlineLevel="0" collapsed="false">
      <c r="B13" s="5" t="s">
        <v>9</v>
      </c>
      <c r="C13" s="5"/>
      <c r="D13" s="5"/>
      <c r="E13" s="5"/>
      <c r="F13" s="5"/>
      <c r="G13" s="5"/>
      <c r="H13" s="5"/>
      <c r="I13" s="5"/>
    </row>
    <row r="15" customFormat="false" ht="15" hidden="false" customHeight="false" outlineLevel="0" collapsed="false">
      <c r="B15" s="3" t="s">
        <v>10</v>
      </c>
    </row>
    <row r="16" customFormat="false" ht="33.75" hidden="false" customHeight="true" outlineLevel="0" collapsed="false">
      <c r="B16" s="6" t="s">
        <v>11</v>
      </c>
      <c r="C16" s="4" t="s">
        <v>12</v>
      </c>
      <c r="D16" s="4"/>
      <c r="E16" s="4"/>
      <c r="F16" s="4"/>
      <c r="G16" s="4"/>
      <c r="H16" s="4"/>
      <c r="I16" s="4"/>
    </row>
    <row r="17" customFormat="false" ht="33.75" hidden="false" customHeight="true" outlineLevel="0" collapsed="false">
      <c r="B17" s="6" t="s">
        <v>13</v>
      </c>
      <c r="C17" s="4" t="s">
        <v>14</v>
      </c>
      <c r="D17" s="4"/>
      <c r="E17" s="4"/>
      <c r="F17" s="4"/>
      <c r="G17" s="4"/>
      <c r="H17" s="4"/>
      <c r="I17" s="4"/>
    </row>
    <row r="18" customFormat="false" ht="33.75" hidden="false" customHeight="true" outlineLevel="0" collapsed="false">
      <c r="B18" s="6" t="s">
        <v>15</v>
      </c>
      <c r="C18" s="4" t="s">
        <v>16</v>
      </c>
      <c r="D18" s="4"/>
      <c r="E18" s="4"/>
      <c r="F18" s="4"/>
      <c r="G18" s="4"/>
      <c r="H18" s="4"/>
      <c r="I18" s="4"/>
    </row>
    <row r="19" customFormat="false" ht="33.75" hidden="false" customHeight="true" outlineLevel="0" collapsed="false">
      <c r="B19" s="6" t="s">
        <v>17</v>
      </c>
      <c r="C19" s="4" t="s">
        <v>18</v>
      </c>
      <c r="D19" s="4"/>
      <c r="E19" s="4"/>
      <c r="F19" s="4"/>
      <c r="G19" s="4"/>
      <c r="H19" s="4"/>
      <c r="I19" s="4"/>
    </row>
    <row r="20" customFormat="false" ht="33.75" hidden="false" customHeight="true" outlineLevel="0" collapsed="false">
      <c r="B20" s="6" t="s">
        <v>19</v>
      </c>
      <c r="C20" s="4" t="s">
        <v>20</v>
      </c>
      <c r="D20" s="4"/>
      <c r="E20" s="4"/>
      <c r="F20" s="4"/>
      <c r="G20" s="4"/>
      <c r="H20" s="4"/>
      <c r="I20" s="4"/>
    </row>
    <row r="22" customFormat="false" ht="15" hidden="false" customHeight="false" outlineLevel="0" collapsed="false">
      <c r="B22" s="3" t="s">
        <v>21</v>
      </c>
    </row>
    <row r="23" customFormat="false" ht="54.75" hidden="false" customHeight="true" outlineLevel="0" collapsed="false">
      <c r="B23" s="4" t="s">
        <v>22</v>
      </c>
      <c r="C23" s="4"/>
      <c r="D23" s="4"/>
      <c r="E23" s="4"/>
      <c r="F23" s="4"/>
      <c r="G23" s="4"/>
      <c r="H23" s="4"/>
      <c r="I23" s="4"/>
    </row>
  </sheetData>
  <mergeCells count="14">
    <mergeCell ref="B2:I2"/>
    <mergeCell ref="B3:I3"/>
    <mergeCell ref="B6:I6"/>
    <mergeCell ref="B9:I9"/>
    <mergeCell ref="B10:I10"/>
    <mergeCell ref="B11:I11"/>
    <mergeCell ref="B12:I12"/>
    <mergeCell ref="B13:I13"/>
    <mergeCell ref="C16:I16"/>
    <mergeCell ref="C17:I17"/>
    <mergeCell ref="C18:I18"/>
    <mergeCell ref="C19:I19"/>
    <mergeCell ref="C20:I20"/>
    <mergeCell ref="B23:I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K1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5"/>
    <col collapsed="false" customWidth="true" hidden="false" outlineLevel="0" max="11" min="8" style="0" width="15"/>
  </cols>
  <sheetData>
    <row r="1" customFormat="false" ht="15" hidden="false" customHeight="false" outlineLevel="0" collapsed="false">
      <c r="A1" s="3" t="s">
        <v>23</v>
      </c>
    </row>
    <row r="3" customFormat="false" ht="15" hidden="false" customHeight="false" outlineLevel="0" collapsed="false">
      <c r="A3" s="7" t="s">
        <v>24</v>
      </c>
      <c r="H3" s="7" t="s">
        <v>25</v>
      </c>
    </row>
    <row r="4" customFormat="false" ht="15" hidden="false" customHeight="false" outlineLevel="0" collapsed="false">
      <c r="A4" s="8" t="s">
        <v>26</v>
      </c>
      <c r="B4" s="8" t="s">
        <v>27</v>
      </c>
      <c r="C4" s="8" t="s">
        <v>28</v>
      </c>
      <c r="D4" s="8" t="s">
        <v>29</v>
      </c>
      <c r="E4" s="8" t="s">
        <v>30</v>
      </c>
      <c r="H4" s="8" t="s">
        <v>31</v>
      </c>
      <c r="I4" s="8" t="s">
        <v>32</v>
      </c>
      <c r="J4" s="8" t="s">
        <v>33</v>
      </c>
      <c r="K4" s="8" t="s">
        <v>34</v>
      </c>
    </row>
    <row r="5" customFormat="false" ht="15" hidden="false" customHeight="false" outlineLevel="0" collapsed="false">
      <c r="A5" s="0" t="s">
        <v>35</v>
      </c>
      <c r="B5" s="0" t="s">
        <v>36</v>
      </c>
      <c r="C5" s="0" t="s">
        <v>37</v>
      </c>
      <c r="D5" s="0" t="n">
        <v>17</v>
      </c>
      <c r="E5" s="0" t="n">
        <v>720291.53</v>
      </c>
      <c r="H5" s="0" t="s">
        <v>38</v>
      </c>
      <c r="I5" s="0" t="n">
        <v>5953</v>
      </c>
      <c r="J5" s="0" t="n">
        <v>64</v>
      </c>
      <c r="K5" s="0" t="n">
        <v>1.07508819082815</v>
      </c>
    </row>
    <row r="6" customFormat="false" ht="15" hidden="false" customHeight="false" outlineLevel="0" collapsed="false">
      <c r="A6" s="0" t="s">
        <v>39</v>
      </c>
      <c r="B6" s="0" t="s">
        <v>40</v>
      </c>
      <c r="C6" s="0" t="s">
        <v>41</v>
      </c>
      <c r="D6" s="0" t="n">
        <v>4</v>
      </c>
      <c r="E6" s="0" t="n">
        <v>951533.4</v>
      </c>
      <c r="H6" s="0" t="s">
        <v>42</v>
      </c>
      <c r="I6" s="0" t="n">
        <v>6049</v>
      </c>
      <c r="J6" s="0" t="n">
        <v>73</v>
      </c>
      <c r="K6" s="0" t="n">
        <v>1.20681104314763</v>
      </c>
    </row>
    <row r="7" customFormat="false" ht="15" hidden="false" customHeight="false" outlineLevel="0" collapsed="false">
      <c r="A7" s="0" t="s">
        <v>43</v>
      </c>
      <c r="B7" s="0" t="s">
        <v>40</v>
      </c>
      <c r="C7" s="0" t="s">
        <v>44</v>
      </c>
      <c r="D7" s="0" t="n">
        <v>51</v>
      </c>
      <c r="E7" s="0" t="n">
        <v>1363337.41</v>
      </c>
      <c r="H7" s="0" t="s">
        <v>45</v>
      </c>
      <c r="I7" s="0" t="n">
        <v>5928</v>
      </c>
      <c r="J7" s="0" t="n">
        <v>74</v>
      </c>
      <c r="K7" s="0" t="n">
        <v>1.24831309041835</v>
      </c>
    </row>
    <row r="8" customFormat="false" ht="15" hidden="false" customHeight="false" outlineLevel="0" collapsed="false">
      <c r="A8" s="0" t="s">
        <v>46</v>
      </c>
      <c r="B8" s="0" t="s">
        <v>36</v>
      </c>
      <c r="C8" s="0" t="s">
        <v>41</v>
      </c>
      <c r="D8" s="0" t="n">
        <v>30</v>
      </c>
      <c r="E8" s="0" t="n">
        <v>720379.17</v>
      </c>
      <c r="H8" s="0" t="s">
        <v>47</v>
      </c>
      <c r="I8" s="0" t="n">
        <v>5908</v>
      </c>
      <c r="J8" s="0" t="n">
        <v>63</v>
      </c>
      <c r="K8" s="0" t="n">
        <v>1.06635071090047</v>
      </c>
    </row>
    <row r="9" customFormat="false" ht="15" hidden="false" customHeight="false" outlineLevel="0" collapsed="false">
      <c r="A9" s="0" t="s">
        <v>48</v>
      </c>
      <c r="B9" s="0" t="s">
        <v>49</v>
      </c>
      <c r="C9" s="0" t="s">
        <v>50</v>
      </c>
      <c r="D9" s="0" t="n">
        <v>7</v>
      </c>
      <c r="E9" s="0" t="n">
        <v>508429.86</v>
      </c>
      <c r="H9" s="0" t="s">
        <v>51</v>
      </c>
      <c r="I9" s="0" t="n">
        <v>6045</v>
      </c>
      <c r="J9" s="0" t="n">
        <v>71</v>
      </c>
      <c r="K9" s="0" t="n">
        <v>1.17452440033085</v>
      </c>
    </row>
    <row r="10" customFormat="false" ht="15" hidden="false" customHeight="false" outlineLevel="0" collapsed="false">
      <c r="A10" s="0" t="s">
        <v>52</v>
      </c>
      <c r="B10" s="0" t="s">
        <v>36</v>
      </c>
      <c r="C10" s="0" t="s">
        <v>53</v>
      </c>
      <c r="D10" s="0" t="n">
        <v>92</v>
      </c>
      <c r="E10" s="0" t="n">
        <v>599609.03</v>
      </c>
      <c r="H10" s="0" t="s">
        <v>54</v>
      </c>
      <c r="I10" s="0" t="n">
        <v>5984</v>
      </c>
      <c r="J10" s="0" t="n">
        <v>82</v>
      </c>
      <c r="K10" s="0" t="n">
        <v>1.37032085561497</v>
      </c>
    </row>
    <row r="11" customFormat="false" ht="15" hidden="false" customHeight="false" outlineLevel="0" collapsed="false">
      <c r="A11" s="0" t="s">
        <v>55</v>
      </c>
      <c r="B11" s="0" t="s">
        <v>36</v>
      </c>
      <c r="C11" s="0" t="s">
        <v>53</v>
      </c>
      <c r="D11" s="0" t="n">
        <v>49</v>
      </c>
      <c r="E11" s="0" t="n">
        <v>365227.89</v>
      </c>
      <c r="H11" s="0" t="s">
        <v>56</v>
      </c>
      <c r="I11" s="0" t="n">
        <v>5995</v>
      </c>
      <c r="J11" s="0" t="n">
        <v>75</v>
      </c>
      <c r="K11" s="0" t="n">
        <v>1.25104253544621</v>
      </c>
    </row>
    <row r="12" customFormat="false" ht="15" hidden="false" customHeight="false" outlineLevel="0" collapsed="false">
      <c r="A12" s="0" t="s">
        <v>57</v>
      </c>
      <c r="B12" s="0" t="s">
        <v>40</v>
      </c>
      <c r="C12" s="0" t="s">
        <v>44</v>
      </c>
      <c r="D12" s="0" t="n">
        <v>31</v>
      </c>
      <c r="E12" s="0" t="n">
        <v>1232717.83</v>
      </c>
      <c r="H12" s="0" t="s">
        <v>58</v>
      </c>
      <c r="I12" s="0" t="n">
        <v>6063</v>
      </c>
      <c r="J12" s="0" t="n">
        <v>72</v>
      </c>
      <c r="K12" s="0" t="n">
        <v>1.18753092528451</v>
      </c>
    </row>
    <row r="13" customFormat="false" ht="15" hidden="false" customHeight="false" outlineLevel="0" collapsed="false">
      <c r="A13" s="0" t="s">
        <v>59</v>
      </c>
      <c r="B13" s="0" t="s">
        <v>49</v>
      </c>
      <c r="C13" s="0" t="s">
        <v>44</v>
      </c>
      <c r="D13" s="0" t="n">
        <v>88</v>
      </c>
      <c r="E13" s="0" t="n">
        <v>1104782.34</v>
      </c>
      <c r="H13" s="0" t="s">
        <v>60</v>
      </c>
      <c r="I13" s="0" t="n">
        <v>6121</v>
      </c>
      <c r="J13" s="0" t="n">
        <v>67</v>
      </c>
      <c r="K13" s="0" t="n">
        <v>1.09459238686489</v>
      </c>
    </row>
    <row r="14" customFormat="false" ht="15" hidden="false" customHeight="false" outlineLevel="0" collapsed="false">
      <c r="A14" s="0" t="s">
        <v>61</v>
      </c>
      <c r="B14" s="0" t="s">
        <v>36</v>
      </c>
      <c r="C14" s="0" t="s">
        <v>53</v>
      </c>
      <c r="D14" s="0" t="n">
        <v>39</v>
      </c>
      <c r="E14" s="0" t="n">
        <v>454859.87</v>
      </c>
      <c r="H14" s="0" t="s">
        <v>62</v>
      </c>
      <c r="I14" s="0" t="n">
        <v>5954</v>
      </c>
      <c r="J14" s="0" t="n">
        <v>61</v>
      </c>
      <c r="K14" s="0" t="n">
        <v>1.02452133019819</v>
      </c>
    </row>
    <row r="15" customFormat="false" ht="15" hidden="false" customHeight="false" outlineLevel="0" collapsed="false">
      <c r="A15" s="0" t="s">
        <v>63</v>
      </c>
      <c r="B15" s="0" t="s">
        <v>40</v>
      </c>
      <c r="C15" s="0" t="s">
        <v>64</v>
      </c>
      <c r="D15" s="0" t="n">
        <v>77</v>
      </c>
      <c r="E15" s="0" t="n">
        <v>1710580.61</v>
      </c>
    </row>
    <row r="16" customFormat="false" ht="15" hidden="false" customHeight="false" outlineLevel="0" collapsed="false">
      <c r="A16" s="0" t="s">
        <v>65</v>
      </c>
      <c r="B16" s="0" t="s">
        <v>66</v>
      </c>
      <c r="C16" s="0" t="s">
        <v>50</v>
      </c>
      <c r="D16" s="0" t="n">
        <v>3</v>
      </c>
      <c r="E16" s="0" t="n">
        <v>2188932.49</v>
      </c>
    </row>
    <row r="17" customFormat="false" ht="15" hidden="false" customHeight="false" outlineLevel="0" collapsed="false">
      <c r="A17" s="0" t="s">
        <v>67</v>
      </c>
      <c r="B17" s="0" t="s">
        <v>49</v>
      </c>
      <c r="C17" s="0" t="s">
        <v>68</v>
      </c>
      <c r="D17" s="0" t="n">
        <v>13</v>
      </c>
      <c r="E17" s="0" t="n">
        <v>766641.76</v>
      </c>
    </row>
    <row r="18" customFormat="false" ht="15" hidden="false" customHeight="false" outlineLevel="0" collapsed="false">
      <c r="A18" s="0" t="s">
        <v>69</v>
      </c>
      <c r="B18" s="0" t="s">
        <v>49</v>
      </c>
      <c r="C18" s="0" t="s">
        <v>44</v>
      </c>
      <c r="D18" s="0" t="n">
        <v>31</v>
      </c>
      <c r="E18" s="0" t="n">
        <v>605215.11</v>
      </c>
    </row>
    <row r="19" customFormat="false" ht="15" hidden="false" customHeight="false" outlineLevel="0" collapsed="false">
      <c r="A19" s="0" t="s">
        <v>70</v>
      </c>
      <c r="B19" s="0" t="s">
        <v>49</v>
      </c>
      <c r="C19" s="0" t="s">
        <v>41</v>
      </c>
      <c r="D19" s="0" t="n">
        <v>69</v>
      </c>
      <c r="E19" s="0" t="n">
        <v>551963.71</v>
      </c>
    </row>
    <row r="20" customFormat="false" ht="15" hidden="false" customHeight="false" outlineLevel="0" collapsed="false">
      <c r="A20" s="0" t="s">
        <v>71</v>
      </c>
      <c r="B20" s="0" t="s">
        <v>49</v>
      </c>
      <c r="C20" s="0" t="s">
        <v>50</v>
      </c>
      <c r="D20" s="0" t="n">
        <v>51</v>
      </c>
      <c r="E20" s="0" t="n">
        <v>673335.76</v>
      </c>
    </row>
    <row r="21" customFormat="false" ht="15" hidden="false" customHeight="false" outlineLevel="0" collapsed="false">
      <c r="A21" s="0" t="s">
        <v>72</v>
      </c>
      <c r="B21" s="0" t="s">
        <v>36</v>
      </c>
      <c r="C21" s="0" t="s">
        <v>53</v>
      </c>
      <c r="D21" s="0" t="n">
        <v>50</v>
      </c>
      <c r="E21" s="0" t="n">
        <v>602682.91</v>
      </c>
    </row>
    <row r="22" customFormat="false" ht="15" hidden="false" customHeight="false" outlineLevel="0" collapsed="false">
      <c r="A22" s="0" t="s">
        <v>73</v>
      </c>
      <c r="B22" s="0" t="s">
        <v>36</v>
      </c>
      <c r="C22" s="0" t="s">
        <v>64</v>
      </c>
      <c r="D22" s="0" t="n">
        <v>24</v>
      </c>
      <c r="E22" s="0" t="n">
        <v>630894.13</v>
      </c>
    </row>
    <row r="23" customFormat="false" ht="15" hidden="false" customHeight="false" outlineLevel="0" collapsed="false">
      <c r="A23" s="0" t="s">
        <v>74</v>
      </c>
      <c r="B23" s="0" t="s">
        <v>36</v>
      </c>
      <c r="C23" s="0" t="s">
        <v>53</v>
      </c>
      <c r="D23" s="0" t="n">
        <v>84</v>
      </c>
      <c r="E23" s="0" t="n">
        <v>405590.02</v>
      </c>
    </row>
    <row r="24" customFormat="false" ht="15" hidden="false" customHeight="false" outlineLevel="0" collapsed="false">
      <c r="A24" s="0" t="s">
        <v>75</v>
      </c>
      <c r="B24" s="0" t="s">
        <v>36</v>
      </c>
      <c r="C24" s="0" t="s">
        <v>76</v>
      </c>
      <c r="D24" s="0" t="n">
        <v>78</v>
      </c>
      <c r="E24" s="0" t="n">
        <v>505555.18</v>
      </c>
    </row>
    <row r="25" customFormat="false" ht="15" hidden="false" customHeight="false" outlineLevel="0" collapsed="false">
      <c r="A25" s="0" t="s">
        <v>77</v>
      </c>
      <c r="B25" s="0" t="s">
        <v>36</v>
      </c>
      <c r="C25" s="0" t="s">
        <v>53</v>
      </c>
      <c r="D25" s="0" t="n">
        <v>83</v>
      </c>
      <c r="E25" s="0" t="n">
        <v>533100.72</v>
      </c>
    </row>
    <row r="26" customFormat="false" ht="15" hidden="false" customHeight="false" outlineLevel="0" collapsed="false">
      <c r="A26" s="0" t="s">
        <v>78</v>
      </c>
      <c r="B26" s="0" t="s">
        <v>49</v>
      </c>
      <c r="C26" s="0" t="s">
        <v>64</v>
      </c>
      <c r="D26" s="0" t="n">
        <v>14</v>
      </c>
      <c r="E26" s="0" t="n">
        <v>898595.15</v>
      </c>
    </row>
    <row r="27" customFormat="false" ht="15" hidden="false" customHeight="false" outlineLevel="0" collapsed="false">
      <c r="A27" s="0" t="s">
        <v>79</v>
      </c>
      <c r="B27" s="0" t="s">
        <v>40</v>
      </c>
      <c r="C27" s="0" t="s">
        <v>44</v>
      </c>
      <c r="D27" s="0" t="n">
        <v>93</v>
      </c>
      <c r="E27" s="0" t="n">
        <v>644308.12</v>
      </c>
    </row>
    <row r="28" customFormat="false" ht="15" hidden="false" customHeight="false" outlineLevel="0" collapsed="false">
      <c r="A28" s="0" t="s">
        <v>80</v>
      </c>
      <c r="B28" s="0" t="s">
        <v>36</v>
      </c>
      <c r="C28" s="0" t="s">
        <v>81</v>
      </c>
      <c r="D28" s="0" t="n">
        <v>29</v>
      </c>
      <c r="E28" s="0" t="n">
        <v>613225.75</v>
      </c>
    </row>
    <row r="29" customFormat="false" ht="15" hidden="false" customHeight="false" outlineLevel="0" collapsed="false">
      <c r="A29" s="0" t="s">
        <v>82</v>
      </c>
      <c r="B29" s="0" t="s">
        <v>49</v>
      </c>
      <c r="C29" s="0" t="s">
        <v>81</v>
      </c>
      <c r="D29" s="0" t="n">
        <v>25</v>
      </c>
      <c r="E29" s="0" t="n">
        <v>1121220.1</v>
      </c>
    </row>
    <row r="30" customFormat="false" ht="15" hidden="false" customHeight="false" outlineLevel="0" collapsed="false">
      <c r="A30" s="0" t="s">
        <v>83</v>
      </c>
      <c r="B30" s="0" t="s">
        <v>49</v>
      </c>
      <c r="C30" s="0" t="s">
        <v>37</v>
      </c>
      <c r="D30" s="0" t="n">
        <v>65</v>
      </c>
      <c r="E30" s="0" t="n">
        <v>508902.48</v>
      </c>
    </row>
    <row r="31" customFormat="false" ht="15" hidden="false" customHeight="false" outlineLevel="0" collapsed="false">
      <c r="A31" s="0" t="s">
        <v>84</v>
      </c>
      <c r="B31" s="0" t="s">
        <v>36</v>
      </c>
      <c r="C31" s="0" t="s">
        <v>68</v>
      </c>
      <c r="D31" s="0" t="n">
        <v>52</v>
      </c>
      <c r="E31" s="0" t="n">
        <v>758690.2</v>
      </c>
    </row>
    <row r="32" customFormat="false" ht="15" hidden="false" customHeight="false" outlineLevel="0" collapsed="false">
      <c r="A32" s="0" t="s">
        <v>85</v>
      </c>
      <c r="B32" s="0" t="s">
        <v>40</v>
      </c>
      <c r="C32" s="0" t="s">
        <v>44</v>
      </c>
      <c r="D32" s="0" t="n">
        <v>6</v>
      </c>
      <c r="E32" s="0" t="n">
        <v>1533229.25</v>
      </c>
    </row>
    <row r="33" customFormat="false" ht="15" hidden="false" customHeight="false" outlineLevel="0" collapsed="false">
      <c r="A33" s="0" t="s">
        <v>86</v>
      </c>
      <c r="B33" s="0" t="s">
        <v>49</v>
      </c>
      <c r="C33" s="0" t="s">
        <v>53</v>
      </c>
      <c r="D33" s="0" t="n">
        <v>19</v>
      </c>
      <c r="E33" s="0" t="n">
        <v>537265.12</v>
      </c>
    </row>
    <row r="34" customFormat="false" ht="15" hidden="false" customHeight="false" outlineLevel="0" collapsed="false">
      <c r="A34" s="0" t="s">
        <v>87</v>
      </c>
      <c r="B34" s="0" t="s">
        <v>36</v>
      </c>
      <c r="C34" s="0" t="s">
        <v>76</v>
      </c>
      <c r="D34" s="0" t="n">
        <v>34</v>
      </c>
      <c r="E34" s="0" t="n">
        <v>809887.22</v>
      </c>
    </row>
    <row r="35" customFormat="false" ht="15" hidden="false" customHeight="false" outlineLevel="0" collapsed="false">
      <c r="A35" s="0" t="s">
        <v>88</v>
      </c>
      <c r="B35" s="0" t="s">
        <v>40</v>
      </c>
      <c r="C35" s="0" t="s">
        <v>89</v>
      </c>
      <c r="D35" s="0" t="n">
        <v>54</v>
      </c>
      <c r="E35" s="0" t="n">
        <v>1828716.76</v>
      </c>
    </row>
    <row r="36" customFormat="false" ht="15" hidden="false" customHeight="false" outlineLevel="0" collapsed="false">
      <c r="A36" s="0" t="s">
        <v>90</v>
      </c>
      <c r="B36" s="0" t="s">
        <v>36</v>
      </c>
      <c r="C36" s="0" t="s">
        <v>53</v>
      </c>
      <c r="D36" s="0" t="n">
        <v>86</v>
      </c>
      <c r="E36" s="0" t="n">
        <v>320891.77</v>
      </c>
    </row>
    <row r="37" customFormat="false" ht="15" hidden="false" customHeight="false" outlineLevel="0" collapsed="false">
      <c r="A37" s="0" t="s">
        <v>91</v>
      </c>
      <c r="B37" s="0" t="s">
        <v>36</v>
      </c>
      <c r="C37" s="0" t="s">
        <v>64</v>
      </c>
      <c r="D37" s="0" t="n">
        <v>10</v>
      </c>
      <c r="E37" s="0" t="n">
        <v>677322.87</v>
      </c>
    </row>
    <row r="38" customFormat="false" ht="15" hidden="false" customHeight="false" outlineLevel="0" collapsed="false">
      <c r="A38" s="0" t="s">
        <v>92</v>
      </c>
      <c r="B38" s="0" t="s">
        <v>40</v>
      </c>
      <c r="C38" s="0" t="s">
        <v>41</v>
      </c>
      <c r="D38" s="0" t="n">
        <v>12</v>
      </c>
      <c r="E38" s="0" t="n">
        <v>881262.92</v>
      </c>
    </row>
    <row r="39" customFormat="false" ht="15" hidden="false" customHeight="false" outlineLevel="0" collapsed="false">
      <c r="A39" s="0" t="s">
        <v>93</v>
      </c>
      <c r="B39" s="0" t="s">
        <v>36</v>
      </c>
      <c r="C39" s="0" t="s">
        <v>53</v>
      </c>
      <c r="D39" s="0" t="n">
        <v>23</v>
      </c>
      <c r="E39" s="0" t="n">
        <v>498922.61</v>
      </c>
    </row>
    <row r="40" customFormat="false" ht="15" hidden="false" customHeight="false" outlineLevel="0" collapsed="false">
      <c r="A40" s="0" t="s">
        <v>94</v>
      </c>
      <c r="B40" s="0" t="s">
        <v>36</v>
      </c>
      <c r="C40" s="0" t="s">
        <v>44</v>
      </c>
      <c r="D40" s="0" t="n">
        <v>63</v>
      </c>
      <c r="E40" s="0" t="n">
        <v>463555.4</v>
      </c>
    </row>
    <row r="41" customFormat="false" ht="15" hidden="false" customHeight="false" outlineLevel="0" collapsed="false">
      <c r="A41" s="0" t="s">
        <v>95</v>
      </c>
      <c r="B41" s="0" t="s">
        <v>49</v>
      </c>
      <c r="C41" s="0" t="s">
        <v>81</v>
      </c>
      <c r="D41" s="0" t="n">
        <v>25</v>
      </c>
      <c r="E41" s="0" t="n">
        <v>726058.06</v>
      </c>
    </row>
    <row r="42" customFormat="false" ht="15" hidden="false" customHeight="false" outlineLevel="0" collapsed="false">
      <c r="A42" s="0" t="s">
        <v>96</v>
      </c>
      <c r="B42" s="0" t="s">
        <v>36</v>
      </c>
      <c r="C42" s="0" t="s">
        <v>76</v>
      </c>
      <c r="D42" s="0" t="n">
        <v>76</v>
      </c>
      <c r="E42" s="0" t="n">
        <v>381910.2</v>
      </c>
    </row>
    <row r="43" customFormat="false" ht="15" hidden="false" customHeight="false" outlineLevel="0" collapsed="false">
      <c r="A43" s="0" t="s">
        <v>97</v>
      </c>
      <c r="B43" s="0" t="s">
        <v>49</v>
      </c>
      <c r="C43" s="0" t="s">
        <v>81</v>
      </c>
      <c r="D43" s="0" t="n">
        <v>5</v>
      </c>
      <c r="E43" s="0" t="n">
        <v>838130.56</v>
      </c>
    </row>
    <row r="44" customFormat="false" ht="15" hidden="false" customHeight="false" outlineLevel="0" collapsed="false">
      <c r="A44" s="0" t="s">
        <v>98</v>
      </c>
      <c r="B44" s="0" t="s">
        <v>36</v>
      </c>
      <c r="C44" s="0" t="s">
        <v>37</v>
      </c>
      <c r="D44" s="0" t="n">
        <v>88</v>
      </c>
      <c r="E44" s="0" t="n">
        <v>314729.34</v>
      </c>
    </row>
    <row r="45" customFormat="false" ht="15" hidden="false" customHeight="false" outlineLevel="0" collapsed="false">
      <c r="A45" s="0" t="s">
        <v>99</v>
      </c>
      <c r="B45" s="0" t="s">
        <v>36</v>
      </c>
      <c r="C45" s="0" t="s">
        <v>76</v>
      </c>
      <c r="D45" s="0" t="n">
        <v>38</v>
      </c>
      <c r="E45" s="0" t="n">
        <v>362376.69</v>
      </c>
    </row>
    <row r="46" customFormat="false" ht="15" hidden="false" customHeight="false" outlineLevel="0" collapsed="false">
      <c r="A46" s="0" t="s">
        <v>100</v>
      </c>
      <c r="B46" s="0" t="s">
        <v>36</v>
      </c>
      <c r="C46" s="0" t="s">
        <v>53</v>
      </c>
      <c r="D46" s="0" t="n">
        <v>90</v>
      </c>
      <c r="E46" s="0" t="n">
        <v>526814.09</v>
      </c>
    </row>
    <row r="47" customFormat="false" ht="15" hidden="false" customHeight="false" outlineLevel="0" collapsed="false">
      <c r="A47" s="0" t="s">
        <v>101</v>
      </c>
      <c r="B47" s="0" t="s">
        <v>49</v>
      </c>
      <c r="C47" s="0" t="s">
        <v>53</v>
      </c>
      <c r="D47" s="0" t="n">
        <v>71</v>
      </c>
      <c r="E47" s="0" t="n">
        <v>567358.64</v>
      </c>
    </row>
    <row r="48" customFormat="false" ht="15" hidden="false" customHeight="false" outlineLevel="0" collapsed="false">
      <c r="A48" s="0" t="s">
        <v>102</v>
      </c>
      <c r="B48" s="0" t="s">
        <v>49</v>
      </c>
      <c r="C48" s="0" t="s">
        <v>64</v>
      </c>
      <c r="D48" s="0" t="n">
        <v>78</v>
      </c>
      <c r="E48" s="0" t="n">
        <v>741944.04</v>
      </c>
    </row>
    <row r="49" customFormat="false" ht="15" hidden="false" customHeight="false" outlineLevel="0" collapsed="false">
      <c r="A49" s="0" t="s">
        <v>103</v>
      </c>
      <c r="B49" s="0" t="s">
        <v>40</v>
      </c>
      <c r="C49" s="0" t="s">
        <v>76</v>
      </c>
      <c r="D49" s="0" t="n">
        <v>63</v>
      </c>
      <c r="E49" s="0" t="n">
        <v>1039903.95</v>
      </c>
    </row>
    <row r="50" customFormat="false" ht="15" hidden="false" customHeight="false" outlineLevel="0" collapsed="false">
      <c r="A50" s="0" t="s">
        <v>104</v>
      </c>
      <c r="B50" s="0" t="s">
        <v>40</v>
      </c>
      <c r="C50" s="0" t="s">
        <v>76</v>
      </c>
      <c r="D50" s="0" t="n">
        <v>37</v>
      </c>
      <c r="E50" s="0" t="n">
        <v>1151939.5</v>
      </c>
    </row>
    <row r="51" customFormat="false" ht="15" hidden="false" customHeight="false" outlineLevel="0" collapsed="false">
      <c r="A51" s="0" t="s">
        <v>105</v>
      </c>
      <c r="B51" s="0" t="s">
        <v>49</v>
      </c>
      <c r="C51" s="0" t="s">
        <v>53</v>
      </c>
      <c r="D51" s="0" t="n">
        <v>57</v>
      </c>
      <c r="E51" s="0" t="n">
        <v>545129.95</v>
      </c>
    </row>
    <row r="52" customFormat="false" ht="15" hidden="false" customHeight="false" outlineLevel="0" collapsed="false">
      <c r="A52" s="0" t="s">
        <v>106</v>
      </c>
      <c r="B52" s="0" t="s">
        <v>36</v>
      </c>
      <c r="C52" s="0" t="s">
        <v>89</v>
      </c>
      <c r="D52" s="0" t="n">
        <v>14</v>
      </c>
      <c r="E52" s="0" t="n">
        <v>350130.66</v>
      </c>
    </row>
    <row r="53" customFormat="false" ht="15" hidden="false" customHeight="false" outlineLevel="0" collapsed="false">
      <c r="A53" s="0" t="s">
        <v>107</v>
      </c>
      <c r="B53" s="0" t="s">
        <v>40</v>
      </c>
      <c r="C53" s="0" t="s">
        <v>44</v>
      </c>
      <c r="D53" s="0" t="n">
        <v>62</v>
      </c>
      <c r="E53" s="0" t="n">
        <v>1396790.28</v>
      </c>
    </row>
    <row r="54" customFormat="false" ht="15" hidden="false" customHeight="false" outlineLevel="0" collapsed="false">
      <c r="A54" s="0" t="s">
        <v>108</v>
      </c>
      <c r="B54" s="0" t="s">
        <v>66</v>
      </c>
      <c r="C54" s="0" t="s">
        <v>81</v>
      </c>
      <c r="D54" s="0" t="n">
        <v>76</v>
      </c>
      <c r="E54" s="0" t="n">
        <v>3660753.52</v>
      </c>
    </row>
    <row r="55" customFormat="false" ht="15" hidden="false" customHeight="false" outlineLevel="0" collapsed="false">
      <c r="A55" s="0" t="s">
        <v>109</v>
      </c>
      <c r="B55" s="0" t="s">
        <v>36</v>
      </c>
      <c r="C55" s="0" t="s">
        <v>53</v>
      </c>
      <c r="D55" s="0" t="n">
        <v>19</v>
      </c>
      <c r="E55" s="0" t="n">
        <v>623511.64</v>
      </c>
    </row>
    <row r="56" customFormat="false" ht="15" hidden="false" customHeight="false" outlineLevel="0" collapsed="false">
      <c r="A56" s="0" t="s">
        <v>110</v>
      </c>
      <c r="B56" s="0" t="s">
        <v>36</v>
      </c>
      <c r="C56" s="0" t="s">
        <v>81</v>
      </c>
      <c r="D56" s="0" t="n">
        <v>64</v>
      </c>
      <c r="E56" s="0" t="n">
        <v>485060.26</v>
      </c>
    </row>
    <row r="57" customFormat="false" ht="15" hidden="false" customHeight="false" outlineLevel="0" collapsed="false">
      <c r="A57" s="0" t="s">
        <v>111</v>
      </c>
      <c r="B57" s="0" t="s">
        <v>66</v>
      </c>
      <c r="C57" s="0" t="s">
        <v>68</v>
      </c>
      <c r="D57" s="0" t="n">
        <v>26</v>
      </c>
      <c r="E57" s="0" t="n">
        <v>1703084</v>
      </c>
    </row>
    <row r="58" customFormat="false" ht="15" hidden="false" customHeight="false" outlineLevel="0" collapsed="false">
      <c r="A58" s="0" t="s">
        <v>112</v>
      </c>
      <c r="B58" s="0" t="s">
        <v>40</v>
      </c>
      <c r="C58" s="0" t="s">
        <v>53</v>
      </c>
      <c r="D58" s="0" t="n">
        <v>7</v>
      </c>
      <c r="E58" s="0" t="n">
        <v>749642.17</v>
      </c>
    </row>
    <row r="59" customFormat="false" ht="15" hidden="false" customHeight="false" outlineLevel="0" collapsed="false">
      <c r="A59" s="0" t="s">
        <v>113</v>
      </c>
      <c r="B59" s="0" t="s">
        <v>40</v>
      </c>
      <c r="C59" s="0" t="s">
        <v>68</v>
      </c>
      <c r="D59" s="0" t="n">
        <v>47</v>
      </c>
      <c r="E59" s="0" t="n">
        <v>1515917.38</v>
      </c>
    </row>
    <row r="60" customFormat="false" ht="15" hidden="false" customHeight="false" outlineLevel="0" collapsed="false">
      <c r="A60" s="0" t="s">
        <v>114</v>
      </c>
      <c r="B60" s="0" t="s">
        <v>36</v>
      </c>
      <c r="C60" s="0" t="s">
        <v>64</v>
      </c>
      <c r="D60" s="0" t="n">
        <v>62</v>
      </c>
      <c r="E60" s="0" t="n">
        <v>633994.67</v>
      </c>
    </row>
    <row r="61" customFormat="false" ht="15" hidden="false" customHeight="false" outlineLevel="0" collapsed="false">
      <c r="A61" s="0" t="s">
        <v>115</v>
      </c>
      <c r="B61" s="0" t="s">
        <v>36</v>
      </c>
      <c r="C61" s="0" t="s">
        <v>41</v>
      </c>
      <c r="D61" s="0" t="n">
        <v>18</v>
      </c>
      <c r="E61" s="0" t="n">
        <v>304966.57</v>
      </c>
    </row>
    <row r="62" customFormat="false" ht="15" hidden="false" customHeight="false" outlineLevel="0" collapsed="false">
      <c r="A62" s="0" t="s">
        <v>116</v>
      </c>
      <c r="B62" s="0" t="s">
        <v>49</v>
      </c>
      <c r="C62" s="0" t="s">
        <v>53</v>
      </c>
      <c r="D62" s="0" t="n">
        <v>90</v>
      </c>
      <c r="E62" s="0" t="n">
        <v>456375.66</v>
      </c>
    </row>
    <row r="63" customFormat="false" ht="15" hidden="false" customHeight="false" outlineLevel="0" collapsed="false">
      <c r="A63" s="0" t="s">
        <v>117</v>
      </c>
      <c r="B63" s="0" t="s">
        <v>36</v>
      </c>
      <c r="C63" s="0" t="s">
        <v>41</v>
      </c>
      <c r="D63" s="0" t="n">
        <v>38</v>
      </c>
      <c r="E63" s="0" t="n">
        <v>379831.42</v>
      </c>
    </row>
    <row r="64" customFormat="false" ht="15" hidden="false" customHeight="false" outlineLevel="0" collapsed="false">
      <c r="A64" s="0" t="s">
        <v>118</v>
      </c>
      <c r="B64" s="0" t="s">
        <v>40</v>
      </c>
      <c r="C64" s="0" t="s">
        <v>44</v>
      </c>
      <c r="D64" s="0" t="n">
        <v>12</v>
      </c>
      <c r="E64" s="0" t="n">
        <v>1016575.09</v>
      </c>
    </row>
    <row r="65" customFormat="false" ht="15" hidden="false" customHeight="false" outlineLevel="0" collapsed="false">
      <c r="A65" s="0" t="s">
        <v>119</v>
      </c>
      <c r="B65" s="0" t="s">
        <v>36</v>
      </c>
      <c r="C65" s="0" t="s">
        <v>68</v>
      </c>
      <c r="D65" s="0" t="n">
        <v>5</v>
      </c>
      <c r="E65" s="0" t="n">
        <v>625271.79</v>
      </c>
    </row>
    <row r="66" customFormat="false" ht="15" hidden="false" customHeight="false" outlineLevel="0" collapsed="false">
      <c r="A66" s="0" t="s">
        <v>120</v>
      </c>
      <c r="B66" s="0" t="s">
        <v>36</v>
      </c>
      <c r="C66" s="0" t="s">
        <v>53</v>
      </c>
      <c r="D66" s="0" t="n">
        <v>61</v>
      </c>
      <c r="E66" s="0" t="n">
        <v>336726.31</v>
      </c>
    </row>
    <row r="67" customFormat="false" ht="15" hidden="false" customHeight="false" outlineLevel="0" collapsed="false">
      <c r="A67" s="0" t="s">
        <v>121</v>
      </c>
      <c r="B67" s="0" t="s">
        <v>49</v>
      </c>
      <c r="C67" s="0" t="s">
        <v>50</v>
      </c>
      <c r="D67" s="0" t="n">
        <v>78</v>
      </c>
      <c r="E67" s="0" t="n">
        <v>1074367.4</v>
      </c>
    </row>
    <row r="68" customFormat="false" ht="15" hidden="false" customHeight="false" outlineLevel="0" collapsed="false">
      <c r="A68" s="0" t="s">
        <v>122</v>
      </c>
      <c r="B68" s="0" t="s">
        <v>36</v>
      </c>
      <c r="C68" s="0" t="s">
        <v>64</v>
      </c>
      <c r="D68" s="0" t="n">
        <v>34</v>
      </c>
      <c r="E68" s="0" t="n">
        <v>537525.11</v>
      </c>
    </row>
    <row r="69" customFormat="false" ht="15" hidden="false" customHeight="false" outlineLevel="0" collapsed="false">
      <c r="A69" s="0" t="s">
        <v>123</v>
      </c>
      <c r="B69" s="0" t="s">
        <v>40</v>
      </c>
      <c r="C69" s="0" t="s">
        <v>64</v>
      </c>
      <c r="D69" s="0" t="n">
        <v>86</v>
      </c>
      <c r="E69" s="0" t="n">
        <v>1188523.29</v>
      </c>
    </row>
    <row r="70" customFormat="false" ht="15" hidden="false" customHeight="false" outlineLevel="0" collapsed="false">
      <c r="A70" s="0" t="s">
        <v>124</v>
      </c>
      <c r="B70" s="0" t="s">
        <v>40</v>
      </c>
      <c r="C70" s="0" t="s">
        <v>44</v>
      </c>
      <c r="D70" s="0" t="n">
        <v>39</v>
      </c>
      <c r="E70" s="0" t="n">
        <v>1150290.83</v>
      </c>
    </row>
    <row r="71" customFormat="false" ht="15" hidden="false" customHeight="false" outlineLevel="0" collapsed="false">
      <c r="A71" s="0" t="s">
        <v>125</v>
      </c>
      <c r="B71" s="0" t="s">
        <v>40</v>
      </c>
      <c r="C71" s="0" t="s">
        <v>53</v>
      </c>
      <c r="D71" s="0" t="n">
        <v>44</v>
      </c>
      <c r="E71" s="0" t="n">
        <v>1274397.92</v>
      </c>
    </row>
    <row r="72" customFormat="false" ht="15" hidden="false" customHeight="false" outlineLevel="0" collapsed="false">
      <c r="A72" s="0" t="s">
        <v>126</v>
      </c>
      <c r="B72" s="0" t="s">
        <v>36</v>
      </c>
      <c r="C72" s="0" t="s">
        <v>68</v>
      </c>
      <c r="D72" s="0" t="n">
        <v>76</v>
      </c>
      <c r="E72" s="0" t="n">
        <v>409362.4</v>
      </c>
    </row>
    <row r="73" customFormat="false" ht="15" hidden="false" customHeight="false" outlineLevel="0" collapsed="false">
      <c r="A73" s="0" t="s">
        <v>127</v>
      </c>
      <c r="B73" s="0" t="s">
        <v>36</v>
      </c>
      <c r="C73" s="0" t="s">
        <v>81</v>
      </c>
      <c r="D73" s="0" t="n">
        <v>85</v>
      </c>
      <c r="E73" s="0" t="n">
        <v>665557.48</v>
      </c>
    </row>
    <row r="74" customFormat="false" ht="15" hidden="false" customHeight="false" outlineLevel="0" collapsed="false">
      <c r="A74" s="0" t="s">
        <v>128</v>
      </c>
      <c r="B74" s="0" t="s">
        <v>36</v>
      </c>
      <c r="C74" s="0" t="s">
        <v>53</v>
      </c>
      <c r="D74" s="0" t="n">
        <v>60</v>
      </c>
      <c r="E74" s="0" t="n">
        <v>752596.82</v>
      </c>
    </row>
    <row r="75" customFormat="false" ht="15" hidden="false" customHeight="false" outlineLevel="0" collapsed="false">
      <c r="A75" s="0" t="s">
        <v>129</v>
      </c>
      <c r="B75" s="0" t="s">
        <v>36</v>
      </c>
      <c r="C75" s="0" t="s">
        <v>68</v>
      </c>
      <c r="D75" s="0" t="n">
        <v>10</v>
      </c>
      <c r="E75" s="0" t="n">
        <v>632497.81</v>
      </c>
    </row>
    <row r="76" customFormat="false" ht="15" hidden="false" customHeight="false" outlineLevel="0" collapsed="false">
      <c r="A76" s="0" t="s">
        <v>130</v>
      </c>
      <c r="B76" s="0" t="s">
        <v>66</v>
      </c>
      <c r="C76" s="0" t="s">
        <v>64</v>
      </c>
      <c r="D76" s="0" t="n">
        <v>78</v>
      </c>
      <c r="E76" s="0" t="n">
        <v>2694557.66</v>
      </c>
    </row>
    <row r="77" customFormat="false" ht="15" hidden="false" customHeight="false" outlineLevel="0" collapsed="false">
      <c r="A77" s="0" t="s">
        <v>131</v>
      </c>
      <c r="B77" s="0" t="s">
        <v>66</v>
      </c>
      <c r="C77" s="0" t="s">
        <v>50</v>
      </c>
      <c r="D77" s="0" t="n">
        <v>87</v>
      </c>
      <c r="E77" s="0" t="n">
        <v>1779450.84</v>
      </c>
    </row>
    <row r="78" customFormat="false" ht="15" hidden="false" customHeight="false" outlineLevel="0" collapsed="false">
      <c r="A78" s="0" t="s">
        <v>132</v>
      </c>
      <c r="B78" s="0" t="s">
        <v>49</v>
      </c>
      <c r="C78" s="0" t="s">
        <v>53</v>
      </c>
      <c r="D78" s="0" t="n">
        <v>8</v>
      </c>
      <c r="E78" s="0" t="n">
        <v>822925.53</v>
      </c>
    </row>
    <row r="79" customFormat="false" ht="15" hidden="false" customHeight="false" outlineLevel="0" collapsed="false">
      <c r="A79" s="0" t="s">
        <v>133</v>
      </c>
      <c r="B79" s="0" t="s">
        <v>36</v>
      </c>
      <c r="C79" s="0" t="s">
        <v>41</v>
      </c>
      <c r="D79" s="0" t="n">
        <v>37</v>
      </c>
      <c r="E79" s="0" t="n">
        <v>535901.02</v>
      </c>
    </row>
    <row r="80" customFormat="false" ht="15" hidden="false" customHeight="false" outlineLevel="0" collapsed="false">
      <c r="A80" s="0" t="s">
        <v>134</v>
      </c>
      <c r="B80" s="0" t="s">
        <v>40</v>
      </c>
      <c r="C80" s="0" t="s">
        <v>44</v>
      </c>
      <c r="D80" s="0" t="n">
        <v>4</v>
      </c>
      <c r="E80" s="0" t="n">
        <v>1459122.1</v>
      </c>
    </row>
    <row r="81" customFormat="false" ht="15" hidden="false" customHeight="false" outlineLevel="0" collapsed="false">
      <c r="A81" s="0" t="s">
        <v>135</v>
      </c>
      <c r="B81" s="0" t="s">
        <v>36</v>
      </c>
      <c r="C81" s="0" t="s">
        <v>76</v>
      </c>
      <c r="D81" s="0" t="n">
        <v>51</v>
      </c>
      <c r="E81" s="0" t="n">
        <v>474522.42</v>
      </c>
    </row>
    <row r="82" customFormat="false" ht="15" hidden="false" customHeight="false" outlineLevel="0" collapsed="false">
      <c r="A82" s="0" t="s">
        <v>136</v>
      </c>
      <c r="B82" s="0" t="s">
        <v>49</v>
      </c>
      <c r="C82" s="0" t="s">
        <v>64</v>
      </c>
      <c r="D82" s="0" t="n">
        <v>57</v>
      </c>
      <c r="E82" s="0" t="n">
        <v>830926.88</v>
      </c>
    </row>
    <row r="83" customFormat="false" ht="15" hidden="false" customHeight="false" outlineLevel="0" collapsed="false">
      <c r="A83" s="0" t="s">
        <v>137</v>
      </c>
      <c r="B83" s="0" t="s">
        <v>36</v>
      </c>
      <c r="C83" s="0" t="s">
        <v>44</v>
      </c>
      <c r="D83" s="0" t="n">
        <v>60</v>
      </c>
      <c r="E83" s="0" t="n">
        <v>374242.5</v>
      </c>
    </row>
    <row r="84" customFormat="false" ht="15" hidden="false" customHeight="false" outlineLevel="0" collapsed="false">
      <c r="A84" s="0" t="s">
        <v>138</v>
      </c>
      <c r="B84" s="0" t="s">
        <v>36</v>
      </c>
      <c r="C84" s="0" t="s">
        <v>64</v>
      </c>
      <c r="D84" s="0" t="n">
        <v>57</v>
      </c>
      <c r="E84" s="0" t="n">
        <v>630530.24</v>
      </c>
    </row>
    <row r="85" customFormat="false" ht="15" hidden="false" customHeight="false" outlineLevel="0" collapsed="false">
      <c r="A85" s="0" t="s">
        <v>139</v>
      </c>
      <c r="B85" s="0" t="s">
        <v>66</v>
      </c>
      <c r="C85" s="0" t="s">
        <v>37</v>
      </c>
      <c r="D85" s="0" t="n">
        <v>78</v>
      </c>
      <c r="E85" s="0" t="n">
        <v>2508931.06</v>
      </c>
    </row>
    <row r="86" customFormat="false" ht="15" hidden="false" customHeight="false" outlineLevel="0" collapsed="false">
      <c r="A86" s="0" t="s">
        <v>140</v>
      </c>
      <c r="B86" s="0" t="s">
        <v>36</v>
      </c>
      <c r="C86" s="0" t="s">
        <v>76</v>
      </c>
      <c r="D86" s="0" t="n">
        <v>91</v>
      </c>
      <c r="E86" s="0" t="n">
        <v>548573.98</v>
      </c>
    </row>
    <row r="87" customFormat="false" ht="15" hidden="false" customHeight="false" outlineLevel="0" collapsed="false">
      <c r="A87" s="0" t="s">
        <v>141</v>
      </c>
      <c r="B87" s="0" t="s">
        <v>49</v>
      </c>
      <c r="C87" s="0" t="s">
        <v>64</v>
      </c>
      <c r="D87" s="0" t="n">
        <v>78</v>
      </c>
      <c r="E87" s="0" t="n">
        <v>540592.15</v>
      </c>
    </row>
    <row r="88" customFormat="false" ht="15" hidden="false" customHeight="false" outlineLevel="0" collapsed="false">
      <c r="A88" s="0" t="s">
        <v>142</v>
      </c>
      <c r="B88" s="0" t="s">
        <v>36</v>
      </c>
      <c r="C88" s="0" t="s">
        <v>41</v>
      </c>
      <c r="D88" s="0" t="n">
        <v>93</v>
      </c>
      <c r="E88" s="0" t="n">
        <v>590887.43</v>
      </c>
    </row>
    <row r="89" customFormat="false" ht="15" hidden="false" customHeight="false" outlineLevel="0" collapsed="false">
      <c r="A89" s="0" t="s">
        <v>143</v>
      </c>
      <c r="B89" s="0" t="s">
        <v>40</v>
      </c>
      <c r="C89" s="0" t="s">
        <v>64</v>
      </c>
      <c r="D89" s="0" t="n">
        <v>83</v>
      </c>
      <c r="E89" s="0" t="n">
        <v>1917270.24</v>
      </c>
    </row>
    <row r="90" customFormat="false" ht="15" hidden="false" customHeight="false" outlineLevel="0" collapsed="false">
      <c r="A90" s="0" t="s">
        <v>144</v>
      </c>
      <c r="B90" s="0" t="s">
        <v>66</v>
      </c>
      <c r="C90" s="0" t="s">
        <v>37</v>
      </c>
      <c r="D90" s="0" t="n">
        <v>74</v>
      </c>
      <c r="E90" s="0" t="n">
        <v>1941027.46</v>
      </c>
    </row>
    <row r="91" customFormat="false" ht="15" hidden="false" customHeight="false" outlineLevel="0" collapsed="false">
      <c r="A91" s="0" t="s">
        <v>145</v>
      </c>
      <c r="B91" s="0" t="s">
        <v>40</v>
      </c>
      <c r="C91" s="0" t="s">
        <v>44</v>
      </c>
      <c r="D91" s="0" t="n">
        <v>65</v>
      </c>
      <c r="E91" s="0" t="n">
        <v>933307.14</v>
      </c>
    </row>
    <row r="92" customFormat="false" ht="15" hidden="false" customHeight="false" outlineLevel="0" collapsed="false">
      <c r="A92" s="0" t="s">
        <v>146</v>
      </c>
      <c r="B92" s="0" t="s">
        <v>36</v>
      </c>
      <c r="C92" s="0" t="s">
        <v>53</v>
      </c>
      <c r="D92" s="0" t="n">
        <v>51</v>
      </c>
      <c r="E92" s="0" t="n">
        <v>801415.2</v>
      </c>
    </row>
    <row r="93" customFormat="false" ht="15" hidden="false" customHeight="false" outlineLevel="0" collapsed="false">
      <c r="A93" s="0" t="s">
        <v>147</v>
      </c>
      <c r="B93" s="0" t="s">
        <v>49</v>
      </c>
      <c r="C93" s="0" t="s">
        <v>89</v>
      </c>
      <c r="D93" s="0" t="n">
        <v>40</v>
      </c>
      <c r="E93" s="0" t="n">
        <v>522930.34</v>
      </c>
    </row>
    <row r="94" customFormat="false" ht="15" hidden="false" customHeight="false" outlineLevel="0" collapsed="false">
      <c r="A94" s="0" t="s">
        <v>148</v>
      </c>
      <c r="B94" s="0" t="s">
        <v>36</v>
      </c>
      <c r="C94" s="0" t="s">
        <v>50</v>
      </c>
      <c r="D94" s="0" t="n">
        <v>68</v>
      </c>
      <c r="E94" s="0" t="n">
        <v>442556.56</v>
      </c>
    </row>
    <row r="95" customFormat="false" ht="15" hidden="false" customHeight="false" outlineLevel="0" collapsed="false">
      <c r="A95" s="0" t="s">
        <v>149</v>
      </c>
      <c r="B95" s="0" t="s">
        <v>36</v>
      </c>
      <c r="C95" s="0" t="s">
        <v>53</v>
      </c>
      <c r="D95" s="0" t="n">
        <v>43</v>
      </c>
      <c r="E95" s="0" t="n">
        <v>590909.53</v>
      </c>
    </row>
    <row r="96" customFormat="false" ht="15" hidden="false" customHeight="false" outlineLevel="0" collapsed="false">
      <c r="A96" s="0" t="s">
        <v>150</v>
      </c>
      <c r="B96" s="0" t="s">
        <v>36</v>
      </c>
      <c r="C96" s="0" t="s">
        <v>81</v>
      </c>
      <c r="D96" s="0" t="n">
        <v>39</v>
      </c>
      <c r="E96" s="0" t="n">
        <v>453804.49</v>
      </c>
    </row>
    <row r="97" customFormat="false" ht="15" hidden="false" customHeight="false" outlineLevel="0" collapsed="false">
      <c r="A97" s="0" t="s">
        <v>151</v>
      </c>
      <c r="B97" s="0" t="s">
        <v>40</v>
      </c>
      <c r="C97" s="0" t="s">
        <v>37</v>
      </c>
      <c r="D97" s="0" t="n">
        <v>27</v>
      </c>
      <c r="E97" s="0" t="n">
        <v>946555.23</v>
      </c>
    </row>
    <row r="98" customFormat="false" ht="15" hidden="false" customHeight="false" outlineLevel="0" collapsed="false">
      <c r="A98" s="0" t="s">
        <v>152</v>
      </c>
      <c r="B98" s="0" t="s">
        <v>66</v>
      </c>
      <c r="C98" s="0" t="s">
        <v>81</v>
      </c>
      <c r="D98" s="0" t="n">
        <v>61</v>
      </c>
      <c r="E98" s="0" t="n">
        <v>1426507.99</v>
      </c>
    </row>
    <row r="99" customFormat="false" ht="15" hidden="false" customHeight="false" outlineLevel="0" collapsed="false">
      <c r="A99" s="0" t="s">
        <v>153</v>
      </c>
      <c r="B99" s="0" t="s">
        <v>36</v>
      </c>
      <c r="C99" s="0" t="s">
        <v>53</v>
      </c>
      <c r="D99" s="0" t="n">
        <v>35</v>
      </c>
      <c r="E99" s="0" t="n">
        <v>754558.08</v>
      </c>
    </row>
    <row r="100" customFormat="false" ht="15" hidden="false" customHeight="false" outlineLevel="0" collapsed="false">
      <c r="A100" s="0" t="s">
        <v>154</v>
      </c>
      <c r="B100" s="0" t="s">
        <v>49</v>
      </c>
      <c r="C100" s="0" t="s">
        <v>41</v>
      </c>
      <c r="D100" s="0" t="n">
        <v>20</v>
      </c>
      <c r="E100" s="0" t="n">
        <v>1056195.44</v>
      </c>
    </row>
    <row r="101" customFormat="false" ht="15" hidden="false" customHeight="false" outlineLevel="0" collapsed="false">
      <c r="A101" s="0" t="s">
        <v>155</v>
      </c>
      <c r="B101" s="0" t="s">
        <v>36</v>
      </c>
      <c r="C101" s="0" t="s">
        <v>44</v>
      </c>
      <c r="D101" s="0" t="n">
        <v>36</v>
      </c>
      <c r="E101" s="0" t="n">
        <v>866453.54</v>
      </c>
    </row>
    <row r="102" customFormat="false" ht="15" hidden="false" customHeight="false" outlineLevel="0" collapsed="false">
      <c r="A102" s="0" t="s">
        <v>156</v>
      </c>
      <c r="B102" s="0" t="s">
        <v>49</v>
      </c>
      <c r="C102" s="0" t="s">
        <v>53</v>
      </c>
      <c r="D102" s="0" t="n">
        <v>61</v>
      </c>
      <c r="E102" s="0" t="n">
        <v>660352.96</v>
      </c>
    </row>
    <row r="103" customFormat="false" ht="15" hidden="false" customHeight="false" outlineLevel="0" collapsed="false">
      <c r="A103" s="0" t="s">
        <v>157</v>
      </c>
      <c r="B103" s="0" t="s">
        <v>40</v>
      </c>
      <c r="C103" s="0" t="s">
        <v>76</v>
      </c>
      <c r="D103" s="0" t="n">
        <v>72</v>
      </c>
      <c r="E103" s="0" t="n">
        <v>1347235.68</v>
      </c>
    </row>
    <row r="104" customFormat="false" ht="15" hidden="false" customHeight="false" outlineLevel="0" collapsed="false">
      <c r="A104" s="0" t="s">
        <v>158</v>
      </c>
      <c r="B104" s="0" t="s">
        <v>36</v>
      </c>
      <c r="C104" s="0" t="s">
        <v>64</v>
      </c>
      <c r="D104" s="0" t="n">
        <v>60</v>
      </c>
      <c r="E104" s="0" t="n">
        <v>610052.35</v>
      </c>
    </row>
    <row r="105" customFormat="false" ht="15" hidden="false" customHeight="false" outlineLevel="0" collapsed="false">
      <c r="A105" s="0" t="s">
        <v>159</v>
      </c>
      <c r="B105" s="0" t="s">
        <v>49</v>
      </c>
      <c r="C105" s="0" t="s">
        <v>68</v>
      </c>
      <c r="D105" s="0" t="n">
        <v>86</v>
      </c>
      <c r="E105" s="0" t="n">
        <v>847343.95</v>
      </c>
    </row>
    <row r="106" customFormat="false" ht="15" hidden="false" customHeight="false" outlineLevel="0" collapsed="false">
      <c r="A106" s="0" t="s">
        <v>160</v>
      </c>
      <c r="B106" s="0" t="s">
        <v>49</v>
      </c>
      <c r="C106" s="0" t="s">
        <v>53</v>
      </c>
      <c r="D106" s="0" t="n">
        <v>52</v>
      </c>
      <c r="E106" s="0" t="n">
        <v>1112687.57</v>
      </c>
    </row>
    <row r="107" customFormat="false" ht="15" hidden="false" customHeight="false" outlineLevel="0" collapsed="false">
      <c r="A107" s="0" t="s">
        <v>161</v>
      </c>
      <c r="B107" s="0" t="s">
        <v>36</v>
      </c>
      <c r="C107" s="0" t="s">
        <v>64</v>
      </c>
      <c r="D107" s="0" t="n">
        <v>33</v>
      </c>
      <c r="E107" s="0" t="n">
        <v>699087.57</v>
      </c>
    </row>
    <row r="108" customFormat="false" ht="15" hidden="false" customHeight="false" outlineLevel="0" collapsed="false">
      <c r="A108" s="0" t="s">
        <v>162</v>
      </c>
      <c r="B108" s="0" t="s">
        <v>40</v>
      </c>
      <c r="C108" s="0" t="s">
        <v>41</v>
      </c>
      <c r="D108" s="0" t="n">
        <v>76</v>
      </c>
      <c r="E108" s="0" t="n">
        <v>1100675.01</v>
      </c>
    </row>
    <row r="109" customFormat="false" ht="15" hidden="false" customHeight="false" outlineLevel="0" collapsed="false">
      <c r="A109" s="0" t="s">
        <v>163</v>
      </c>
      <c r="B109" s="0" t="s">
        <v>36</v>
      </c>
      <c r="C109" s="0" t="s">
        <v>81</v>
      </c>
      <c r="D109" s="0" t="n">
        <v>14</v>
      </c>
      <c r="E109" s="0" t="n">
        <v>893075.09</v>
      </c>
    </row>
    <row r="110" customFormat="false" ht="15" hidden="false" customHeight="false" outlineLevel="0" collapsed="false">
      <c r="A110" s="0" t="s">
        <v>164</v>
      </c>
      <c r="B110" s="0" t="s">
        <v>36</v>
      </c>
      <c r="C110" s="0" t="s">
        <v>41</v>
      </c>
      <c r="D110" s="0" t="n">
        <v>36</v>
      </c>
      <c r="E110" s="0" t="n">
        <v>687371.28</v>
      </c>
    </row>
    <row r="111" customFormat="false" ht="15" hidden="false" customHeight="false" outlineLevel="0" collapsed="false">
      <c r="A111" s="0" t="s">
        <v>165</v>
      </c>
      <c r="B111" s="0" t="s">
        <v>49</v>
      </c>
      <c r="C111" s="0" t="s">
        <v>44</v>
      </c>
      <c r="D111" s="0" t="n">
        <v>17</v>
      </c>
      <c r="E111" s="0" t="n">
        <v>524901.82</v>
      </c>
    </row>
    <row r="112" customFormat="false" ht="15" hidden="false" customHeight="false" outlineLevel="0" collapsed="false">
      <c r="A112" s="0" t="s">
        <v>166</v>
      </c>
      <c r="B112" s="0" t="s">
        <v>36</v>
      </c>
      <c r="C112" s="0" t="s">
        <v>53</v>
      </c>
      <c r="D112" s="0" t="n">
        <v>10</v>
      </c>
      <c r="E112" s="0" t="n">
        <v>402993.26</v>
      </c>
    </row>
    <row r="113" customFormat="false" ht="15" hidden="false" customHeight="false" outlineLevel="0" collapsed="false">
      <c r="A113" s="0" t="s">
        <v>167</v>
      </c>
      <c r="B113" s="0" t="s">
        <v>36</v>
      </c>
      <c r="C113" s="0" t="s">
        <v>37</v>
      </c>
      <c r="D113" s="0" t="n">
        <v>83</v>
      </c>
      <c r="E113" s="0" t="n">
        <v>576355.3</v>
      </c>
    </row>
    <row r="114" customFormat="false" ht="15" hidden="false" customHeight="false" outlineLevel="0" collapsed="false">
      <c r="A114" s="0" t="s">
        <v>168</v>
      </c>
      <c r="B114" s="0" t="s">
        <v>36</v>
      </c>
      <c r="C114" s="0" t="s">
        <v>53</v>
      </c>
      <c r="D114" s="0" t="n">
        <v>89</v>
      </c>
      <c r="E114" s="0" t="n">
        <v>589718.97</v>
      </c>
    </row>
    <row r="115" customFormat="false" ht="15" hidden="false" customHeight="false" outlineLevel="0" collapsed="false">
      <c r="A115" s="0" t="s">
        <v>169</v>
      </c>
      <c r="B115" s="0" t="s">
        <v>49</v>
      </c>
      <c r="C115" s="0" t="s">
        <v>44</v>
      </c>
      <c r="D115" s="0" t="n">
        <v>42</v>
      </c>
      <c r="E115" s="0" t="n">
        <v>822175.6</v>
      </c>
    </row>
    <row r="116" customFormat="false" ht="15" hidden="false" customHeight="false" outlineLevel="0" collapsed="false">
      <c r="A116" s="0" t="s">
        <v>170</v>
      </c>
      <c r="B116" s="0" t="s">
        <v>36</v>
      </c>
      <c r="C116" s="0" t="s">
        <v>53</v>
      </c>
      <c r="D116" s="0" t="n">
        <v>29</v>
      </c>
      <c r="E116" s="0" t="n">
        <v>431583.7</v>
      </c>
    </row>
    <row r="117" customFormat="false" ht="15" hidden="false" customHeight="false" outlineLevel="0" collapsed="false">
      <c r="A117" s="0" t="s">
        <v>171</v>
      </c>
      <c r="B117" s="0" t="s">
        <v>36</v>
      </c>
      <c r="C117" s="0" t="s">
        <v>64</v>
      </c>
      <c r="D117" s="0" t="n">
        <v>15</v>
      </c>
      <c r="E117" s="0" t="n">
        <v>338755.4</v>
      </c>
    </row>
    <row r="118" customFormat="false" ht="15" hidden="false" customHeight="false" outlineLevel="0" collapsed="false">
      <c r="A118" s="0" t="s">
        <v>172</v>
      </c>
      <c r="B118" s="0" t="s">
        <v>66</v>
      </c>
      <c r="C118" s="0" t="s">
        <v>44</v>
      </c>
      <c r="D118" s="0" t="n">
        <v>26</v>
      </c>
      <c r="E118" s="0" t="n">
        <v>3231064.89</v>
      </c>
    </row>
    <row r="119" customFormat="false" ht="15" hidden="false" customHeight="false" outlineLevel="0" collapsed="false">
      <c r="A119" s="0" t="s">
        <v>173</v>
      </c>
      <c r="B119" s="0" t="s">
        <v>40</v>
      </c>
      <c r="C119" s="0" t="s">
        <v>41</v>
      </c>
      <c r="D119" s="0" t="n">
        <v>89</v>
      </c>
      <c r="E119" s="0" t="n">
        <v>1330229.81</v>
      </c>
    </row>
    <row r="120" customFormat="false" ht="15" hidden="false" customHeight="false" outlineLevel="0" collapsed="false">
      <c r="A120" s="0" t="s">
        <v>174</v>
      </c>
      <c r="B120" s="0" t="s">
        <v>66</v>
      </c>
      <c r="C120" s="0" t="s">
        <v>53</v>
      </c>
      <c r="D120" s="0" t="n">
        <v>90</v>
      </c>
      <c r="E120" s="0" t="n">
        <v>3468793.67</v>
      </c>
    </row>
    <row r="121" customFormat="false" ht="15" hidden="false" customHeight="false" outlineLevel="0" collapsed="false">
      <c r="A121" s="0" t="s">
        <v>175</v>
      </c>
      <c r="B121" s="0" t="s">
        <v>36</v>
      </c>
      <c r="C121" s="0" t="s">
        <v>68</v>
      </c>
      <c r="D121" s="0" t="n">
        <v>76</v>
      </c>
      <c r="E121" s="0" t="n">
        <v>659946.98</v>
      </c>
    </row>
    <row r="122" customFormat="false" ht="15" hidden="false" customHeight="false" outlineLevel="0" collapsed="false">
      <c r="A122" s="0" t="s">
        <v>176</v>
      </c>
      <c r="B122" s="0" t="s">
        <v>36</v>
      </c>
      <c r="C122" s="0" t="s">
        <v>53</v>
      </c>
      <c r="D122" s="0" t="n">
        <v>64</v>
      </c>
      <c r="E122" s="0" t="n">
        <v>472182.18</v>
      </c>
    </row>
    <row r="123" customFormat="false" ht="15" hidden="false" customHeight="false" outlineLevel="0" collapsed="false">
      <c r="A123" s="0" t="s">
        <v>177</v>
      </c>
      <c r="B123" s="0" t="s">
        <v>36</v>
      </c>
      <c r="C123" s="0" t="s">
        <v>89</v>
      </c>
      <c r="D123" s="0" t="n">
        <v>38</v>
      </c>
      <c r="E123" s="0" t="n">
        <v>624395.89</v>
      </c>
    </row>
    <row r="124" customFormat="false" ht="15" hidden="false" customHeight="false" outlineLevel="0" collapsed="false">
      <c r="A124" s="0" t="s">
        <v>178</v>
      </c>
      <c r="B124" s="0" t="s">
        <v>36</v>
      </c>
      <c r="C124" s="0" t="s">
        <v>68</v>
      </c>
      <c r="D124" s="0" t="n">
        <v>24</v>
      </c>
      <c r="E124" s="0" t="n">
        <v>785296.99</v>
      </c>
    </row>
    <row r="125" customFormat="false" ht="15" hidden="false" customHeight="false" outlineLevel="0" collapsed="false">
      <c r="A125" s="0" t="s">
        <v>179</v>
      </c>
      <c r="B125" s="0" t="s">
        <v>36</v>
      </c>
      <c r="C125" s="0" t="s">
        <v>81</v>
      </c>
      <c r="D125" s="0" t="n">
        <v>90</v>
      </c>
      <c r="E125" s="0" t="n">
        <v>412261.76</v>
      </c>
    </row>
    <row r="126" customFormat="false" ht="15" hidden="false" customHeight="false" outlineLevel="0" collapsed="false">
      <c r="A126" s="0" t="s">
        <v>180</v>
      </c>
      <c r="B126" s="0" t="s">
        <v>36</v>
      </c>
      <c r="C126" s="0" t="s">
        <v>53</v>
      </c>
      <c r="D126" s="0" t="n">
        <v>60</v>
      </c>
      <c r="E126" s="0" t="n">
        <v>706823.95</v>
      </c>
    </row>
    <row r="127" customFormat="false" ht="15" hidden="false" customHeight="false" outlineLevel="0" collapsed="false">
      <c r="A127" s="0" t="s">
        <v>181</v>
      </c>
      <c r="B127" s="0" t="s">
        <v>40</v>
      </c>
      <c r="C127" s="0" t="s">
        <v>50</v>
      </c>
      <c r="D127" s="0" t="n">
        <v>72</v>
      </c>
      <c r="E127" s="0" t="n">
        <v>997629.79</v>
      </c>
    </row>
    <row r="128" customFormat="false" ht="15" hidden="false" customHeight="false" outlineLevel="0" collapsed="false">
      <c r="A128" s="0" t="s">
        <v>182</v>
      </c>
      <c r="B128" s="0" t="s">
        <v>49</v>
      </c>
      <c r="C128" s="0" t="s">
        <v>50</v>
      </c>
      <c r="D128" s="0" t="n">
        <v>34</v>
      </c>
      <c r="E128" s="0" t="n">
        <v>484404.65</v>
      </c>
    </row>
    <row r="129" customFormat="false" ht="15" hidden="false" customHeight="false" outlineLevel="0" collapsed="false">
      <c r="A129" s="0" t="s">
        <v>183</v>
      </c>
      <c r="B129" s="0" t="s">
        <v>36</v>
      </c>
      <c r="C129" s="0" t="s">
        <v>89</v>
      </c>
      <c r="D129" s="0" t="n">
        <v>16</v>
      </c>
      <c r="E129" s="0" t="n">
        <v>697562.99</v>
      </c>
    </row>
    <row r="130" customFormat="false" ht="15" hidden="false" customHeight="false" outlineLevel="0" collapsed="false">
      <c r="A130" s="0" t="s">
        <v>184</v>
      </c>
      <c r="B130" s="0" t="s">
        <v>49</v>
      </c>
      <c r="C130" s="0" t="s">
        <v>68</v>
      </c>
      <c r="D130" s="0" t="n">
        <v>67</v>
      </c>
      <c r="E130" s="0" t="n">
        <v>597618.16</v>
      </c>
    </row>
    <row r="131" customFormat="false" ht="15" hidden="false" customHeight="false" outlineLevel="0" collapsed="false">
      <c r="A131" s="0" t="s">
        <v>185</v>
      </c>
      <c r="B131" s="0" t="s">
        <v>36</v>
      </c>
      <c r="C131" s="0" t="s">
        <v>64</v>
      </c>
      <c r="D131" s="0" t="n">
        <v>40</v>
      </c>
      <c r="E131" s="0" t="n">
        <v>522808.5</v>
      </c>
    </row>
    <row r="132" customFormat="false" ht="15" hidden="false" customHeight="false" outlineLevel="0" collapsed="false">
      <c r="A132" s="0" t="s">
        <v>186</v>
      </c>
      <c r="B132" s="0" t="s">
        <v>40</v>
      </c>
      <c r="C132" s="0" t="s">
        <v>53</v>
      </c>
      <c r="D132" s="0" t="n">
        <v>50</v>
      </c>
      <c r="E132" s="0" t="n">
        <v>813260.51</v>
      </c>
    </row>
    <row r="133" customFormat="false" ht="15" hidden="false" customHeight="false" outlineLevel="0" collapsed="false">
      <c r="A133" s="0" t="s">
        <v>187</v>
      </c>
      <c r="B133" s="0" t="s">
        <v>36</v>
      </c>
      <c r="C133" s="0" t="s">
        <v>89</v>
      </c>
      <c r="D133" s="0" t="n">
        <v>88</v>
      </c>
      <c r="E133" s="0" t="n">
        <v>641534.85</v>
      </c>
    </row>
    <row r="134" customFormat="false" ht="15" hidden="false" customHeight="false" outlineLevel="0" collapsed="false">
      <c r="A134" s="0" t="s">
        <v>188</v>
      </c>
      <c r="B134" s="0" t="s">
        <v>36</v>
      </c>
      <c r="C134" s="0" t="s">
        <v>81</v>
      </c>
      <c r="D134" s="0" t="n">
        <v>42</v>
      </c>
      <c r="E134" s="0" t="n">
        <v>488652.91</v>
      </c>
    </row>
    <row r="135" customFormat="false" ht="15" hidden="false" customHeight="false" outlineLevel="0" collapsed="false">
      <c r="A135" s="0" t="s">
        <v>189</v>
      </c>
      <c r="B135" s="0" t="s">
        <v>40</v>
      </c>
      <c r="C135" s="0" t="s">
        <v>76</v>
      </c>
      <c r="D135" s="0" t="n">
        <v>40</v>
      </c>
      <c r="E135" s="0" t="n">
        <v>1053558.53</v>
      </c>
    </row>
    <row r="136" customFormat="false" ht="15" hidden="false" customHeight="false" outlineLevel="0" collapsed="false">
      <c r="A136" s="0" t="s">
        <v>190</v>
      </c>
      <c r="B136" s="0" t="s">
        <v>36</v>
      </c>
      <c r="C136" s="0" t="s">
        <v>50</v>
      </c>
      <c r="D136" s="0" t="n">
        <v>34</v>
      </c>
      <c r="E136" s="0" t="n">
        <v>496690.06</v>
      </c>
    </row>
    <row r="137" customFormat="false" ht="15" hidden="false" customHeight="false" outlineLevel="0" collapsed="false">
      <c r="A137" s="0" t="s">
        <v>191</v>
      </c>
      <c r="B137" s="0" t="s">
        <v>49</v>
      </c>
      <c r="C137" s="0" t="s">
        <v>76</v>
      </c>
      <c r="D137" s="0" t="n">
        <v>45</v>
      </c>
      <c r="E137" s="0" t="n">
        <v>594566.28</v>
      </c>
    </row>
    <row r="138" customFormat="false" ht="15" hidden="false" customHeight="false" outlineLevel="0" collapsed="false">
      <c r="A138" s="0" t="s">
        <v>192</v>
      </c>
      <c r="B138" s="0" t="s">
        <v>49</v>
      </c>
      <c r="C138" s="0" t="s">
        <v>53</v>
      </c>
      <c r="D138" s="0" t="n">
        <v>49</v>
      </c>
      <c r="E138" s="0" t="n">
        <v>741834.62</v>
      </c>
    </row>
    <row r="139" customFormat="false" ht="15" hidden="false" customHeight="false" outlineLevel="0" collapsed="false">
      <c r="A139" s="0" t="s">
        <v>193</v>
      </c>
      <c r="B139" s="0" t="s">
        <v>40</v>
      </c>
      <c r="C139" s="0" t="s">
        <v>64</v>
      </c>
      <c r="D139" s="0" t="n">
        <v>92</v>
      </c>
      <c r="E139" s="0" t="n">
        <v>990201.17</v>
      </c>
    </row>
    <row r="140" customFormat="false" ht="15" hidden="false" customHeight="false" outlineLevel="0" collapsed="false">
      <c r="A140" s="0" t="s">
        <v>194</v>
      </c>
      <c r="B140" s="0" t="s">
        <v>36</v>
      </c>
      <c r="C140" s="0" t="s">
        <v>53</v>
      </c>
      <c r="D140" s="0" t="n">
        <v>49</v>
      </c>
      <c r="E140" s="0" t="n">
        <v>376547.07</v>
      </c>
    </row>
    <row r="141" customFormat="false" ht="15" hidden="false" customHeight="false" outlineLevel="0" collapsed="false">
      <c r="A141" s="0" t="s">
        <v>195</v>
      </c>
      <c r="B141" s="0" t="s">
        <v>36</v>
      </c>
      <c r="C141" s="0" t="s">
        <v>68</v>
      </c>
      <c r="D141" s="0" t="n">
        <v>20</v>
      </c>
      <c r="E141" s="0" t="n">
        <v>610569.48</v>
      </c>
    </row>
    <row r="142" customFormat="false" ht="15" hidden="false" customHeight="false" outlineLevel="0" collapsed="false">
      <c r="A142" s="0" t="s">
        <v>196</v>
      </c>
      <c r="B142" s="0" t="s">
        <v>49</v>
      </c>
      <c r="C142" s="0" t="s">
        <v>81</v>
      </c>
      <c r="D142" s="0" t="n">
        <v>75</v>
      </c>
      <c r="E142" s="0" t="n">
        <v>692285.41</v>
      </c>
    </row>
    <row r="143" customFormat="false" ht="15" hidden="false" customHeight="false" outlineLevel="0" collapsed="false">
      <c r="A143" s="0" t="s">
        <v>197</v>
      </c>
      <c r="B143" s="0" t="s">
        <v>49</v>
      </c>
      <c r="C143" s="0" t="s">
        <v>64</v>
      </c>
      <c r="D143" s="0" t="n">
        <v>19</v>
      </c>
      <c r="E143" s="0" t="n">
        <v>865752.62</v>
      </c>
    </row>
    <row r="144" customFormat="false" ht="15" hidden="false" customHeight="false" outlineLevel="0" collapsed="false">
      <c r="A144" s="0" t="s">
        <v>198</v>
      </c>
      <c r="B144" s="0" t="s">
        <v>40</v>
      </c>
      <c r="C144" s="0" t="s">
        <v>64</v>
      </c>
      <c r="D144" s="0" t="n">
        <v>62</v>
      </c>
      <c r="E144" s="0" t="n">
        <v>1054118.94</v>
      </c>
    </row>
    <row r="145" customFormat="false" ht="15" hidden="false" customHeight="false" outlineLevel="0" collapsed="false">
      <c r="A145" s="0" t="s">
        <v>199</v>
      </c>
      <c r="B145" s="0" t="s">
        <v>36</v>
      </c>
      <c r="C145" s="0" t="s">
        <v>53</v>
      </c>
      <c r="D145" s="0" t="n">
        <v>23</v>
      </c>
      <c r="E145" s="0" t="n">
        <v>706955.94</v>
      </c>
    </row>
    <row r="146" customFormat="false" ht="15" hidden="false" customHeight="false" outlineLevel="0" collapsed="false">
      <c r="A146" s="0" t="s">
        <v>200</v>
      </c>
      <c r="B146" s="0" t="s">
        <v>49</v>
      </c>
      <c r="C146" s="0" t="s">
        <v>53</v>
      </c>
      <c r="D146" s="0" t="n">
        <v>77</v>
      </c>
      <c r="E146" s="0" t="n">
        <v>969837.59</v>
      </c>
    </row>
    <row r="147" customFormat="false" ht="15" hidden="false" customHeight="false" outlineLevel="0" collapsed="false">
      <c r="A147" s="0" t="s">
        <v>201</v>
      </c>
      <c r="B147" s="0" t="s">
        <v>49</v>
      </c>
      <c r="C147" s="0" t="s">
        <v>44</v>
      </c>
      <c r="D147" s="0" t="n">
        <v>82</v>
      </c>
      <c r="E147" s="0" t="n">
        <v>669717.8</v>
      </c>
    </row>
    <row r="148" customFormat="false" ht="15" hidden="false" customHeight="false" outlineLevel="0" collapsed="false">
      <c r="A148" s="0" t="s">
        <v>202</v>
      </c>
      <c r="B148" s="0" t="s">
        <v>36</v>
      </c>
      <c r="C148" s="0" t="s">
        <v>41</v>
      </c>
      <c r="D148" s="0" t="n">
        <v>30</v>
      </c>
      <c r="E148" s="0" t="n">
        <v>668079.52</v>
      </c>
    </row>
    <row r="149" customFormat="false" ht="15" hidden="false" customHeight="false" outlineLevel="0" collapsed="false">
      <c r="A149" s="0" t="s">
        <v>203</v>
      </c>
      <c r="B149" s="0" t="s">
        <v>36</v>
      </c>
      <c r="C149" s="0" t="s">
        <v>53</v>
      </c>
      <c r="D149" s="0" t="n">
        <v>86</v>
      </c>
      <c r="E149" s="0" t="n">
        <v>392349.77</v>
      </c>
    </row>
    <row r="150" customFormat="false" ht="15" hidden="false" customHeight="false" outlineLevel="0" collapsed="false">
      <c r="A150" s="0" t="s">
        <v>204</v>
      </c>
      <c r="B150" s="0" t="s">
        <v>36</v>
      </c>
      <c r="C150" s="0" t="s">
        <v>44</v>
      </c>
      <c r="D150" s="0" t="n">
        <v>57</v>
      </c>
      <c r="E150" s="0" t="n">
        <v>457654.33</v>
      </c>
    </row>
    <row r="151" customFormat="false" ht="15" hidden="false" customHeight="false" outlineLevel="0" collapsed="false">
      <c r="A151" s="0" t="s">
        <v>205</v>
      </c>
      <c r="B151" s="0" t="s">
        <v>49</v>
      </c>
      <c r="C151" s="0" t="s">
        <v>64</v>
      </c>
      <c r="D151" s="0" t="n">
        <v>91</v>
      </c>
      <c r="E151" s="0" t="n">
        <v>729994.13</v>
      </c>
    </row>
    <row r="152" customFormat="false" ht="15" hidden="false" customHeight="false" outlineLevel="0" collapsed="false">
      <c r="A152" s="0" t="s">
        <v>206</v>
      </c>
      <c r="B152" s="0" t="s">
        <v>36</v>
      </c>
      <c r="C152" s="0" t="s">
        <v>89</v>
      </c>
      <c r="D152" s="0" t="n">
        <v>86</v>
      </c>
      <c r="E152" s="0" t="n">
        <v>644415.04</v>
      </c>
    </row>
    <row r="153" customFormat="false" ht="15" hidden="false" customHeight="false" outlineLevel="0" collapsed="false">
      <c r="A153" s="0" t="s">
        <v>207</v>
      </c>
      <c r="B153" s="0" t="s">
        <v>36</v>
      </c>
      <c r="C153" s="0" t="s">
        <v>53</v>
      </c>
      <c r="D153" s="0" t="n">
        <v>26</v>
      </c>
      <c r="E153" s="0" t="n">
        <v>490697.77</v>
      </c>
    </row>
    <row r="154" customFormat="false" ht="15" hidden="false" customHeight="false" outlineLevel="0" collapsed="false">
      <c r="A154" s="0" t="s">
        <v>208</v>
      </c>
      <c r="B154" s="0" t="s">
        <v>40</v>
      </c>
      <c r="C154" s="0" t="s">
        <v>37</v>
      </c>
      <c r="D154" s="0" t="n">
        <v>18</v>
      </c>
      <c r="E154" s="0" t="n">
        <v>1942235.25</v>
      </c>
    </row>
    <row r="155" customFormat="false" ht="15" hidden="false" customHeight="false" outlineLevel="0" collapsed="false">
      <c r="A155" s="0" t="s">
        <v>209</v>
      </c>
      <c r="B155" s="0" t="s">
        <v>36</v>
      </c>
      <c r="C155" s="0" t="s">
        <v>76</v>
      </c>
      <c r="D155" s="0" t="n">
        <v>54</v>
      </c>
      <c r="E155" s="0" t="n">
        <v>726345.98</v>
      </c>
    </row>
    <row r="156" customFormat="false" ht="15" hidden="false" customHeight="false" outlineLevel="0" collapsed="false">
      <c r="A156" s="0" t="s">
        <v>210</v>
      </c>
      <c r="B156" s="0" t="s">
        <v>40</v>
      </c>
      <c r="C156" s="0" t="s">
        <v>44</v>
      </c>
      <c r="D156" s="0" t="n">
        <v>15</v>
      </c>
      <c r="E156" s="0" t="n">
        <v>2011086.13</v>
      </c>
    </row>
    <row r="157" customFormat="false" ht="15" hidden="false" customHeight="false" outlineLevel="0" collapsed="false">
      <c r="A157" s="0" t="s">
        <v>211</v>
      </c>
      <c r="B157" s="0" t="s">
        <v>40</v>
      </c>
      <c r="C157" s="0" t="s">
        <v>41</v>
      </c>
      <c r="D157" s="0" t="n">
        <v>88</v>
      </c>
      <c r="E157" s="0" t="n">
        <v>1698041.41</v>
      </c>
    </row>
    <row r="158" customFormat="false" ht="15" hidden="false" customHeight="false" outlineLevel="0" collapsed="false">
      <c r="A158" s="0" t="s">
        <v>212</v>
      </c>
      <c r="B158" s="0" t="s">
        <v>36</v>
      </c>
      <c r="C158" s="0" t="s">
        <v>81</v>
      </c>
      <c r="D158" s="0" t="n">
        <v>18</v>
      </c>
      <c r="E158" s="0" t="n">
        <v>467312.2</v>
      </c>
    </row>
    <row r="159" customFormat="false" ht="15" hidden="false" customHeight="false" outlineLevel="0" collapsed="false">
      <c r="A159" s="0" t="s">
        <v>213</v>
      </c>
      <c r="B159" s="0" t="s">
        <v>36</v>
      </c>
      <c r="C159" s="0" t="s">
        <v>41</v>
      </c>
      <c r="D159" s="0" t="n">
        <v>36</v>
      </c>
      <c r="E159" s="0" t="n">
        <v>337087.88</v>
      </c>
    </row>
    <row r="160" customFormat="false" ht="15" hidden="false" customHeight="false" outlineLevel="0" collapsed="false">
      <c r="A160" s="0" t="s">
        <v>214</v>
      </c>
      <c r="B160" s="0" t="s">
        <v>36</v>
      </c>
      <c r="C160" s="0" t="s">
        <v>81</v>
      </c>
      <c r="D160" s="0" t="n">
        <v>64</v>
      </c>
      <c r="E160" s="0" t="n">
        <v>515791.29</v>
      </c>
    </row>
    <row r="161" customFormat="false" ht="15" hidden="false" customHeight="false" outlineLevel="0" collapsed="false">
      <c r="A161" s="0" t="s">
        <v>215</v>
      </c>
      <c r="B161" s="0" t="s">
        <v>49</v>
      </c>
      <c r="C161" s="0" t="s">
        <v>44</v>
      </c>
      <c r="D161" s="0" t="n">
        <v>7</v>
      </c>
      <c r="E161" s="0" t="n">
        <v>1025917.63</v>
      </c>
    </row>
    <row r="162" customFormat="false" ht="15" hidden="false" customHeight="false" outlineLevel="0" collapsed="false">
      <c r="A162" s="0" t="s">
        <v>216</v>
      </c>
      <c r="B162" s="0" t="s">
        <v>49</v>
      </c>
      <c r="C162" s="0" t="s">
        <v>44</v>
      </c>
      <c r="D162" s="0" t="n">
        <v>12</v>
      </c>
      <c r="E162" s="0" t="n">
        <v>507970.82</v>
      </c>
    </row>
    <row r="163" customFormat="false" ht="15" hidden="false" customHeight="false" outlineLevel="0" collapsed="false">
      <c r="A163" s="0" t="s">
        <v>217</v>
      </c>
      <c r="B163" s="0" t="s">
        <v>49</v>
      </c>
      <c r="C163" s="0" t="s">
        <v>81</v>
      </c>
      <c r="D163" s="0" t="n">
        <v>79</v>
      </c>
      <c r="E163" s="0" t="n">
        <v>1056282.03</v>
      </c>
    </row>
    <row r="164" customFormat="false" ht="15" hidden="false" customHeight="false" outlineLevel="0" collapsed="false">
      <c r="A164" s="0" t="s">
        <v>218</v>
      </c>
      <c r="B164" s="0" t="s">
        <v>49</v>
      </c>
      <c r="C164" s="0" t="s">
        <v>44</v>
      </c>
      <c r="D164" s="0" t="n">
        <v>36</v>
      </c>
      <c r="E164" s="0" t="n">
        <v>911117.61</v>
      </c>
    </row>
    <row r="165" customFormat="false" ht="15" hidden="false" customHeight="false" outlineLevel="0" collapsed="false">
      <c r="A165" s="0" t="s">
        <v>219</v>
      </c>
      <c r="B165" s="0" t="s">
        <v>40</v>
      </c>
      <c r="C165" s="0" t="s">
        <v>53</v>
      </c>
      <c r="D165" s="0" t="n">
        <v>53</v>
      </c>
      <c r="E165" s="0" t="n">
        <v>1666197.11</v>
      </c>
    </row>
    <row r="166" customFormat="false" ht="15" hidden="false" customHeight="false" outlineLevel="0" collapsed="false">
      <c r="A166" s="0" t="s">
        <v>220</v>
      </c>
      <c r="B166" s="0" t="s">
        <v>49</v>
      </c>
      <c r="C166" s="0" t="s">
        <v>50</v>
      </c>
      <c r="D166" s="0" t="n">
        <v>67</v>
      </c>
      <c r="E166" s="0" t="n">
        <v>856190.96</v>
      </c>
    </row>
    <row r="167" customFormat="false" ht="15" hidden="false" customHeight="false" outlineLevel="0" collapsed="false">
      <c r="A167" s="0" t="s">
        <v>221</v>
      </c>
      <c r="B167" s="0" t="s">
        <v>36</v>
      </c>
      <c r="C167" s="0" t="s">
        <v>64</v>
      </c>
      <c r="D167" s="0" t="n">
        <v>6</v>
      </c>
      <c r="E167" s="0" t="n">
        <v>445032.04</v>
      </c>
    </row>
    <row r="168" customFormat="false" ht="15" hidden="false" customHeight="false" outlineLevel="0" collapsed="false">
      <c r="A168" s="0" t="s">
        <v>222</v>
      </c>
      <c r="B168" s="0" t="s">
        <v>36</v>
      </c>
      <c r="C168" s="0" t="s">
        <v>76</v>
      </c>
      <c r="D168" s="0" t="n">
        <v>90</v>
      </c>
      <c r="E168" s="0" t="n">
        <v>518524.63</v>
      </c>
    </row>
    <row r="169" customFormat="false" ht="15" hidden="false" customHeight="false" outlineLevel="0" collapsed="false">
      <c r="A169" s="0" t="s">
        <v>223</v>
      </c>
      <c r="B169" s="0" t="s">
        <v>40</v>
      </c>
      <c r="C169" s="0" t="s">
        <v>89</v>
      </c>
      <c r="D169" s="0" t="n">
        <v>14</v>
      </c>
      <c r="E169" s="0" t="n">
        <v>718241.07</v>
      </c>
    </row>
    <row r="170" customFormat="false" ht="15" hidden="false" customHeight="false" outlineLevel="0" collapsed="false">
      <c r="A170" s="0" t="s">
        <v>224</v>
      </c>
      <c r="B170" s="0" t="s">
        <v>49</v>
      </c>
      <c r="C170" s="0" t="s">
        <v>44</v>
      </c>
      <c r="D170" s="0" t="n">
        <v>9</v>
      </c>
      <c r="E170" s="0" t="n">
        <v>735021.61</v>
      </c>
    </row>
    <row r="171" customFormat="false" ht="15" hidden="false" customHeight="false" outlineLevel="0" collapsed="false">
      <c r="A171" s="0" t="s">
        <v>225</v>
      </c>
      <c r="B171" s="0" t="s">
        <v>49</v>
      </c>
      <c r="C171" s="0" t="s">
        <v>50</v>
      </c>
      <c r="D171" s="0" t="n">
        <v>60</v>
      </c>
      <c r="E171" s="0" t="n">
        <v>732801.27</v>
      </c>
    </row>
    <row r="172" customFormat="false" ht="15" hidden="false" customHeight="false" outlineLevel="0" collapsed="false">
      <c r="A172" s="0" t="s">
        <v>226</v>
      </c>
      <c r="B172" s="0" t="s">
        <v>36</v>
      </c>
      <c r="C172" s="0" t="s">
        <v>89</v>
      </c>
      <c r="D172" s="0" t="n">
        <v>84</v>
      </c>
      <c r="E172" s="0" t="n">
        <v>523152.12</v>
      </c>
    </row>
    <row r="173" customFormat="false" ht="15" hidden="false" customHeight="false" outlineLevel="0" collapsed="false">
      <c r="A173" s="0" t="s">
        <v>227</v>
      </c>
      <c r="B173" s="0" t="s">
        <v>40</v>
      </c>
      <c r="C173" s="0" t="s">
        <v>50</v>
      </c>
      <c r="D173" s="0" t="n">
        <v>40</v>
      </c>
      <c r="E173" s="0" t="n">
        <v>1817508.65</v>
      </c>
    </row>
    <row r="174" customFormat="false" ht="15" hidden="false" customHeight="false" outlineLevel="0" collapsed="false">
      <c r="A174" s="0" t="s">
        <v>228</v>
      </c>
      <c r="B174" s="0" t="s">
        <v>49</v>
      </c>
      <c r="C174" s="0" t="s">
        <v>89</v>
      </c>
      <c r="D174" s="0" t="n">
        <v>74</v>
      </c>
      <c r="E174" s="0" t="n">
        <v>712188</v>
      </c>
    </row>
    <row r="175" customFormat="false" ht="15" hidden="false" customHeight="false" outlineLevel="0" collapsed="false">
      <c r="A175" s="0" t="s">
        <v>229</v>
      </c>
      <c r="B175" s="0" t="s">
        <v>36</v>
      </c>
      <c r="C175" s="0" t="s">
        <v>68</v>
      </c>
      <c r="D175" s="0" t="n">
        <v>29</v>
      </c>
      <c r="E175" s="0" t="n">
        <v>859312.8</v>
      </c>
    </row>
    <row r="176" customFormat="false" ht="15" hidden="false" customHeight="false" outlineLevel="0" collapsed="false">
      <c r="A176" s="0" t="s">
        <v>230</v>
      </c>
      <c r="B176" s="0" t="s">
        <v>36</v>
      </c>
      <c r="C176" s="0" t="s">
        <v>53</v>
      </c>
      <c r="D176" s="0" t="n">
        <v>94</v>
      </c>
      <c r="E176" s="0" t="n">
        <v>349766.7</v>
      </c>
    </row>
    <row r="177" customFormat="false" ht="15" hidden="false" customHeight="false" outlineLevel="0" collapsed="false">
      <c r="A177" s="0" t="s">
        <v>231</v>
      </c>
      <c r="B177" s="0" t="s">
        <v>36</v>
      </c>
      <c r="C177" s="0" t="s">
        <v>68</v>
      </c>
      <c r="D177" s="0" t="n">
        <v>84</v>
      </c>
      <c r="E177" s="0" t="n">
        <v>744192.76</v>
      </c>
    </row>
    <row r="178" customFormat="false" ht="15" hidden="false" customHeight="false" outlineLevel="0" collapsed="false">
      <c r="A178" s="0" t="s">
        <v>232</v>
      </c>
      <c r="B178" s="0" t="s">
        <v>49</v>
      </c>
      <c r="C178" s="0" t="s">
        <v>41</v>
      </c>
      <c r="D178" s="0" t="n">
        <v>95</v>
      </c>
      <c r="E178" s="0" t="n">
        <v>678084.86</v>
      </c>
    </row>
    <row r="179" customFormat="false" ht="15" hidden="false" customHeight="false" outlineLevel="0" collapsed="false">
      <c r="A179" s="0" t="s">
        <v>233</v>
      </c>
      <c r="B179" s="0" t="s">
        <v>40</v>
      </c>
      <c r="C179" s="0" t="s">
        <v>41</v>
      </c>
      <c r="D179" s="0" t="n">
        <v>19</v>
      </c>
      <c r="E179" s="0" t="n">
        <v>1402920.35</v>
      </c>
    </row>
    <row r="180" customFormat="false" ht="15" hidden="false" customHeight="false" outlineLevel="0" collapsed="false">
      <c r="A180" s="0" t="s">
        <v>234</v>
      </c>
      <c r="B180" s="0" t="s">
        <v>36</v>
      </c>
      <c r="C180" s="0" t="s">
        <v>50</v>
      </c>
      <c r="D180" s="0" t="n">
        <v>8</v>
      </c>
      <c r="E180" s="0" t="n">
        <v>365690.51</v>
      </c>
    </row>
    <row r="181" customFormat="false" ht="15" hidden="false" customHeight="false" outlineLevel="0" collapsed="false">
      <c r="A181" s="0" t="s">
        <v>235</v>
      </c>
      <c r="B181" s="0" t="s">
        <v>40</v>
      </c>
      <c r="C181" s="0" t="s">
        <v>76</v>
      </c>
      <c r="D181" s="0" t="n">
        <v>73</v>
      </c>
      <c r="E181" s="0" t="n">
        <v>1202206.5</v>
      </c>
    </row>
    <row r="182" customFormat="false" ht="15" hidden="false" customHeight="false" outlineLevel="0" collapsed="false">
      <c r="A182" s="0" t="s">
        <v>236</v>
      </c>
      <c r="B182" s="0" t="s">
        <v>36</v>
      </c>
      <c r="C182" s="0" t="s">
        <v>50</v>
      </c>
      <c r="D182" s="0" t="n">
        <v>23</v>
      </c>
      <c r="E182" s="0" t="n">
        <v>563283.53</v>
      </c>
    </row>
    <row r="183" customFormat="false" ht="15" hidden="false" customHeight="false" outlineLevel="0" collapsed="false">
      <c r="A183" s="0" t="s">
        <v>237</v>
      </c>
      <c r="B183" s="0" t="s">
        <v>49</v>
      </c>
      <c r="C183" s="0" t="s">
        <v>41</v>
      </c>
      <c r="D183" s="0" t="n">
        <v>15</v>
      </c>
      <c r="E183" s="0" t="n">
        <v>951272</v>
      </c>
    </row>
    <row r="184" customFormat="false" ht="15" hidden="false" customHeight="false" outlineLevel="0" collapsed="false">
      <c r="A184" s="0" t="s">
        <v>238</v>
      </c>
      <c r="B184" s="0" t="s">
        <v>66</v>
      </c>
      <c r="C184" s="0" t="s">
        <v>89</v>
      </c>
      <c r="D184" s="0" t="n">
        <v>63</v>
      </c>
      <c r="E184" s="0" t="n">
        <v>3369408.84</v>
      </c>
    </row>
    <row r="185" customFormat="false" ht="15" hidden="false" customHeight="false" outlineLevel="0" collapsed="false">
      <c r="A185" s="0" t="s">
        <v>239</v>
      </c>
      <c r="B185" s="0" t="s">
        <v>36</v>
      </c>
      <c r="C185" s="0" t="s">
        <v>64</v>
      </c>
      <c r="D185" s="0" t="n">
        <v>49</v>
      </c>
      <c r="E185" s="0" t="n">
        <v>333554.73</v>
      </c>
    </row>
    <row r="186" customFormat="false" ht="15" hidden="false" customHeight="false" outlineLevel="0" collapsed="false">
      <c r="A186" s="0" t="s">
        <v>240</v>
      </c>
      <c r="B186" s="0" t="s">
        <v>36</v>
      </c>
      <c r="C186" s="0" t="s">
        <v>68</v>
      </c>
      <c r="D186" s="0" t="n">
        <v>82</v>
      </c>
      <c r="E186" s="0" t="n">
        <v>722749.59</v>
      </c>
    </row>
    <row r="187" customFormat="false" ht="15" hidden="false" customHeight="false" outlineLevel="0" collapsed="false">
      <c r="A187" s="0" t="s">
        <v>241</v>
      </c>
      <c r="B187" s="0" t="s">
        <v>49</v>
      </c>
      <c r="C187" s="0" t="s">
        <v>41</v>
      </c>
      <c r="D187" s="0" t="n">
        <v>55</v>
      </c>
      <c r="E187" s="0" t="n">
        <v>857668.25</v>
      </c>
    </row>
    <row r="188" customFormat="false" ht="15" hidden="false" customHeight="false" outlineLevel="0" collapsed="false">
      <c r="A188" s="0" t="s">
        <v>242</v>
      </c>
      <c r="B188" s="0" t="s">
        <v>40</v>
      </c>
      <c r="C188" s="0" t="s">
        <v>50</v>
      </c>
      <c r="D188" s="0" t="n">
        <v>82</v>
      </c>
      <c r="E188" s="0" t="n">
        <v>1686332.55</v>
      </c>
    </row>
    <row r="189" customFormat="false" ht="15" hidden="false" customHeight="false" outlineLevel="0" collapsed="false">
      <c r="A189" s="0" t="s">
        <v>243</v>
      </c>
      <c r="B189" s="0" t="s">
        <v>49</v>
      </c>
      <c r="C189" s="0" t="s">
        <v>89</v>
      </c>
      <c r="D189" s="0" t="n">
        <v>73</v>
      </c>
      <c r="E189" s="0" t="n">
        <v>1035331.11</v>
      </c>
    </row>
    <row r="190" customFormat="false" ht="15" hidden="false" customHeight="false" outlineLevel="0" collapsed="false">
      <c r="A190" s="0" t="s">
        <v>244</v>
      </c>
      <c r="B190" s="0" t="s">
        <v>40</v>
      </c>
      <c r="C190" s="0" t="s">
        <v>89</v>
      </c>
      <c r="D190" s="0" t="n">
        <v>79</v>
      </c>
      <c r="E190" s="0" t="n">
        <v>1942407.69</v>
      </c>
    </row>
    <row r="191" customFormat="false" ht="15" hidden="false" customHeight="false" outlineLevel="0" collapsed="false">
      <c r="A191" s="0" t="s">
        <v>245</v>
      </c>
      <c r="B191" s="0" t="s">
        <v>36</v>
      </c>
      <c r="C191" s="0" t="s">
        <v>68</v>
      </c>
      <c r="D191" s="0" t="n">
        <v>50</v>
      </c>
      <c r="E191" s="0" t="n">
        <v>651574.91</v>
      </c>
    </row>
    <row r="192" customFormat="false" ht="15" hidden="false" customHeight="false" outlineLevel="0" collapsed="false">
      <c r="A192" s="0" t="s">
        <v>246</v>
      </c>
      <c r="B192" s="0" t="s">
        <v>36</v>
      </c>
      <c r="C192" s="0" t="s">
        <v>41</v>
      </c>
      <c r="D192" s="0" t="n">
        <v>61</v>
      </c>
      <c r="E192" s="0" t="n">
        <v>647016.24</v>
      </c>
    </row>
    <row r="193" customFormat="false" ht="15" hidden="false" customHeight="false" outlineLevel="0" collapsed="false">
      <c r="A193" s="0" t="s">
        <v>247</v>
      </c>
      <c r="B193" s="0" t="s">
        <v>49</v>
      </c>
      <c r="C193" s="0" t="s">
        <v>81</v>
      </c>
      <c r="D193" s="0" t="n">
        <v>53</v>
      </c>
      <c r="E193" s="0" t="n">
        <v>683775.39</v>
      </c>
    </row>
    <row r="194" customFormat="false" ht="15" hidden="false" customHeight="false" outlineLevel="0" collapsed="false">
      <c r="A194" s="0" t="s">
        <v>248</v>
      </c>
      <c r="B194" s="0" t="s">
        <v>36</v>
      </c>
      <c r="C194" s="0" t="s">
        <v>41</v>
      </c>
      <c r="D194" s="0" t="n">
        <v>12</v>
      </c>
      <c r="E194" s="0" t="n">
        <v>566994.07</v>
      </c>
    </row>
    <row r="195" customFormat="false" ht="15" hidden="false" customHeight="false" outlineLevel="0" collapsed="false">
      <c r="A195" s="0" t="s">
        <v>249</v>
      </c>
      <c r="B195" s="0" t="s">
        <v>49</v>
      </c>
      <c r="C195" s="0" t="s">
        <v>53</v>
      </c>
      <c r="D195" s="0" t="n">
        <v>57</v>
      </c>
      <c r="E195" s="0" t="n">
        <v>1004099.76</v>
      </c>
    </row>
    <row r="196" customFormat="false" ht="15" hidden="false" customHeight="false" outlineLevel="0" collapsed="false">
      <c r="A196" s="0" t="s">
        <v>250</v>
      </c>
      <c r="B196" s="0" t="s">
        <v>49</v>
      </c>
      <c r="C196" s="0" t="s">
        <v>53</v>
      </c>
      <c r="D196" s="0" t="n">
        <v>93</v>
      </c>
      <c r="E196" s="0" t="n">
        <v>555974.21</v>
      </c>
    </row>
    <row r="197" customFormat="false" ht="15" hidden="false" customHeight="false" outlineLevel="0" collapsed="false">
      <c r="A197" s="0" t="s">
        <v>251</v>
      </c>
      <c r="B197" s="0" t="s">
        <v>49</v>
      </c>
      <c r="C197" s="0" t="s">
        <v>53</v>
      </c>
      <c r="D197" s="0" t="n">
        <v>74</v>
      </c>
      <c r="E197" s="0" t="n">
        <v>523578.08</v>
      </c>
    </row>
    <row r="198" customFormat="false" ht="15" hidden="false" customHeight="false" outlineLevel="0" collapsed="false">
      <c r="A198" s="0" t="s">
        <v>252</v>
      </c>
      <c r="B198" s="0" t="s">
        <v>36</v>
      </c>
      <c r="C198" s="0" t="s">
        <v>44</v>
      </c>
      <c r="D198" s="0" t="n">
        <v>42</v>
      </c>
      <c r="E198" s="0" t="n">
        <v>353972.99</v>
      </c>
    </row>
    <row r="199" customFormat="false" ht="15" hidden="false" customHeight="false" outlineLevel="0" collapsed="false">
      <c r="A199" s="0" t="s">
        <v>253</v>
      </c>
      <c r="B199" s="0" t="s">
        <v>36</v>
      </c>
      <c r="C199" s="0" t="s">
        <v>50</v>
      </c>
      <c r="D199" s="0" t="n">
        <v>28</v>
      </c>
      <c r="E199" s="0" t="n">
        <v>383560.8</v>
      </c>
    </row>
    <row r="200" customFormat="false" ht="15" hidden="false" customHeight="false" outlineLevel="0" collapsed="false">
      <c r="A200" s="0" t="s">
        <v>254</v>
      </c>
      <c r="B200" s="0" t="s">
        <v>36</v>
      </c>
      <c r="C200" s="0" t="s">
        <v>64</v>
      </c>
      <c r="D200" s="0" t="n">
        <v>42</v>
      </c>
      <c r="E200" s="0" t="n">
        <v>493833.42</v>
      </c>
    </row>
    <row r="201" customFormat="false" ht="15" hidden="false" customHeight="false" outlineLevel="0" collapsed="false">
      <c r="A201" s="0" t="s">
        <v>255</v>
      </c>
      <c r="B201" s="0" t="s">
        <v>36</v>
      </c>
      <c r="C201" s="0" t="s">
        <v>44</v>
      </c>
      <c r="D201" s="0" t="n">
        <v>24</v>
      </c>
      <c r="E201" s="0" t="n">
        <v>773734.28</v>
      </c>
    </row>
    <row r="202" customFormat="false" ht="15" hidden="false" customHeight="false" outlineLevel="0" collapsed="false">
      <c r="A202" s="0" t="s">
        <v>256</v>
      </c>
      <c r="B202" s="0" t="s">
        <v>36</v>
      </c>
      <c r="C202" s="0" t="s">
        <v>41</v>
      </c>
      <c r="D202" s="0" t="n">
        <v>83</v>
      </c>
      <c r="E202" s="0" t="n">
        <v>518203.71</v>
      </c>
    </row>
    <row r="203" customFormat="false" ht="15" hidden="false" customHeight="false" outlineLevel="0" collapsed="false">
      <c r="A203" s="0" t="s">
        <v>257</v>
      </c>
      <c r="B203" s="0" t="s">
        <v>66</v>
      </c>
      <c r="C203" s="0" t="s">
        <v>44</v>
      </c>
      <c r="D203" s="0" t="n">
        <v>81</v>
      </c>
      <c r="E203" s="0" t="n">
        <v>2630145.73</v>
      </c>
    </row>
    <row r="204" customFormat="false" ht="15" hidden="false" customHeight="false" outlineLevel="0" collapsed="false">
      <c r="A204" s="0" t="s">
        <v>258</v>
      </c>
      <c r="B204" s="0" t="s">
        <v>49</v>
      </c>
      <c r="C204" s="0" t="s">
        <v>53</v>
      </c>
      <c r="D204" s="0" t="n">
        <v>88</v>
      </c>
      <c r="E204" s="0" t="n">
        <v>627561.02</v>
      </c>
    </row>
    <row r="205" customFormat="false" ht="15" hidden="false" customHeight="false" outlineLevel="0" collapsed="false">
      <c r="A205" s="0" t="s">
        <v>259</v>
      </c>
      <c r="B205" s="0" t="s">
        <v>40</v>
      </c>
      <c r="C205" s="0" t="s">
        <v>64</v>
      </c>
      <c r="D205" s="0" t="n">
        <v>43</v>
      </c>
      <c r="E205" s="0" t="n">
        <v>876292.18</v>
      </c>
    </row>
    <row r="206" customFormat="false" ht="15" hidden="false" customHeight="false" outlineLevel="0" collapsed="false">
      <c r="A206" s="0" t="s">
        <v>260</v>
      </c>
      <c r="B206" s="0" t="s">
        <v>49</v>
      </c>
      <c r="C206" s="0" t="s">
        <v>53</v>
      </c>
      <c r="D206" s="0" t="n">
        <v>28</v>
      </c>
      <c r="E206" s="0" t="n">
        <v>569880.44</v>
      </c>
    </row>
    <row r="207" customFormat="false" ht="15" hidden="false" customHeight="false" outlineLevel="0" collapsed="false">
      <c r="A207" s="0" t="s">
        <v>261</v>
      </c>
      <c r="B207" s="0" t="s">
        <v>36</v>
      </c>
      <c r="C207" s="0" t="s">
        <v>64</v>
      </c>
      <c r="D207" s="0" t="n">
        <v>47</v>
      </c>
      <c r="E207" s="0" t="n">
        <v>691522.88</v>
      </c>
    </row>
    <row r="208" customFormat="false" ht="15" hidden="false" customHeight="false" outlineLevel="0" collapsed="false">
      <c r="A208" s="0" t="s">
        <v>262</v>
      </c>
      <c r="B208" s="0" t="s">
        <v>36</v>
      </c>
      <c r="C208" s="0" t="s">
        <v>68</v>
      </c>
      <c r="D208" s="0" t="n">
        <v>75</v>
      </c>
      <c r="E208" s="0" t="n">
        <v>363422.88</v>
      </c>
    </row>
    <row r="209" customFormat="false" ht="15" hidden="false" customHeight="false" outlineLevel="0" collapsed="false">
      <c r="A209" s="0" t="s">
        <v>263</v>
      </c>
      <c r="B209" s="0" t="s">
        <v>49</v>
      </c>
      <c r="C209" s="0" t="s">
        <v>53</v>
      </c>
      <c r="D209" s="0" t="n">
        <v>68</v>
      </c>
      <c r="E209" s="0" t="n">
        <v>1044697.43</v>
      </c>
    </row>
    <row r="210" customFormat="false" ht="15" hidden="false" customHeight="false" outlineLevel="0" collapsed="false">
      <c r="A210" s="0" t="s">
        <v>264</v>
      </c>
      <c r="B210" s="0" t="s">
        <v>36</v>
      </c>
      <c r="C210" s="0" t="s">
        <v>44</v>
      </c>
      <c r="D210" s="0" t="n">
        <v>11</v>
      </c>
      <c r="E210" s="0" t="n">
        <v>406687.63</v>
      </c>
    </row>
    <row r="211" customFormat="false" ht="15" hidden="false" customHeight="false" outlineLevel="0" collapsed="false">
      <c r="A211" s="0" t="s">
        <v>265</v>
      </c>
      <c r="B211" s="0" t="s">
        <v>36</v>
      </c>
      <c r="C211" s="0" t="s">
        <v>53</v>
      </c>
      <c r="D211" s="0" t="n">
        <v>67</v>
      </c>
      <c r="E211" s="0" t="n">
        <v>744447.03</v>
      </c>
    </row>
    <row r="212" customFormat="false" ht="15" hidden="false" customHeight="false" outlineLevel="0" collapsed="false">
      <c r="A212" s="0" t="s">
        <v>266</v>
      </c>
      <c r="B212" s="0" t="s">
        <v>36</v>
      </c>
      <c r="C212" s="0" t="s">
        <v>53</v>
      </c>
      <c r="D212" s="0" t="n">
        <v>62</v>
      </c>
      <c r="E212" s="0" t="n">
        <v>567152.43</v>
      </c>
    </row>
    <row r="213" customFormat="false" ht="15" hidden="false" customHeight="false" outlineLevel="0" collapsed="false">
      <c r="A213" s="0" t="s">
        <v>267</v>
      </c>
      <c r="B213" s="0" t="s">
        <v>36</v>
      </c>
      <c r="C213" s="0" t="s">
        <v>76</v>
      </c>
      <c r="D213" s="0" t="n">
        <v>84</v>
      </c>
      <c r="E213" s="0" t="n">
        <v>313911.7</v>
      </c>
    </row>
    <row r="214" customFormat="false" ht="15" hidden="false" customHeight="false" outlineLevel="0" collapsed="false">
      <c r="A214" s="0" t="s">
        <v>268</v>
      </c>
      <c r="B214" s="0" t="s">
        <v>40</v>
      </c>
      <c r="C214" s="0" t="s">
        <v>44</v>
      </c>
      <c r="D214" s="0" t="n">
        <v>10</v>
      </c>
      <c r="E214" s="0" t="n">
        <v>1673840.4</v>
      </c>
    </row>
    <row r="215" customFormat="false" ht="15" hidden="false" customHeight="false" outlineLevel="0" collapsed="false">
      <c r="A215" s="0" t="s">
        <v>269</v>
      </c>
      <c r="B215" s="0" t="s">
        <v>49</v>
      </c>
      <c r="C215" s="0" t="s">
        <v>50</v>
      </c>
      <c r="D215" s="0" t="n">
        <v>71</v>
      </c>
      <c r="E215" s="0" t="n">
        <v>744278.15</v>
      </c>
    </row>
    <row r="216" customFormat="false" ht="15" hidden="false" customHeight="false" outlineLevel="0" collapsed="false">
      <c r="A216" s="0" t="s">
        <v>270</v>
      </c>
      <c r="B216" s="0" t="s">
        <v>36</v>
      </c>
      <c r="C216" s="0" t="s">
        <v>44</v>
      </c>
      <c r="D216" s="0" t="n">
        <v>84</v>
      </c>
      <c r="E216" s="0" t="n">
        <v>417173.99</v>
      </c>
    </row>
    <row r="217" customFormat="false" ht="15" hidden="false" customHeight="false" outlineLevel="0" collapsed="false">
      <c r="A217" s="0" t="s">
        <v>271</v>
      </c>
      <c r="B217" s="0" t="s">
        <v>66</v>
      </c>
      <c r="C217" s="0" t="s">
        <v>44</v>
      </c>
      <c r="D217" s="0" t="n">
        <v>49</v>
      </c>
      <c r="E217" s="0" t="n">
        <v>2116776.34</v>
      </c>
    </row>
    <row r="218" customFormat="false" ht="15" hidden="false" customHeight="false" outlineLevel="0" collapsed="false">
      <c r="A218" s="0" t="s">
        <v>272</v>
      </c>
      <c r="B218" s="0" t="s">
        <v>49</v>
      </c>
      <c r="C218" s="0" t="s">
        <v>44</v>
      </c>
      <c r="D218" s="0" t="n">
        <v>93</v>
      </c>
      <c r="E218" s="0" t="n">
        <v>589917.82</v>
      </c>
    </row>
    <row r="219" customFormat="false" ht="15" hidden="false" customHeight="false" outlineLevel="0" collapsed="false">
      <c r="A219" s="0" t="s">
        <v>273</v>
      </c>
      <c r="B219" s="0" t="s">
        <v>36</v>
      </c>
      <c r="C219" s="0" t="s">
        <v>68</v>
      </c>
      <c r="D219" s="0" t="n">
        <v>70</v>
      </c>
      <c r="E219" s="0" t="n">
        <v>605494.53</v>
      </c>
    </row>
    <row r="220" customFormat="false" ht="15" hidden="false" customHeight="false" outlineLevel="0" collapsed="false">
      <c r="A220" s="0" t="s">
        <v>274</v>
      </c>
      <c r="B220" s="0" t="s">
        <v>36</v>
      </c>
      <c r="C220" s="0" t="s">
        <v>64</v>
      </c>
      <c r="D220" s="0" t="n">
        <v>94</v>
      </c>
      <c r="E220" s="0" t="n">
        <v>628225.93</v>
      </c>
    </row>
    <row r="221" customFormat="false" ht="15" hidden="false" customHeight="false" outlineLevel="0" collapsed="false">
      <c r="A221" s="0" t="s">
        <v>275</v>
      </c>
      <c r="B221" s="0" t="s">
        <v>40</v>
      </c>
      <c r="C221" s="0" t="s">
        <v>81</v>
      </c>
      <c r="D221" s="0" t="n">
        <v>84</v>
      </c>
      <c r="E221" s="0" t="n">
        <v>1894908.9</v>
      </c>
    </row>
    <row r="222" customFormat="false" ht="15" hidden="false" customHeight="false" outlineLevel="0" collapsed="false">
      <c r="A222" s="0" t="s">
        <v>276</v>
      </c>
      <c r="B222" s="0" t="s">
        <v>36</v>
      </c>
      <c r="C222" s="0" t="s">
        <v>44</v>
      </c>
      <c r="D222" s="0" t="n">
        <v>87</v>
      </c>
      <c r="E222" s="0" t="n">
        <v>404242.81</v>
      </c>
    </row>
    <row r="223" customFormat="false" ht="15" hidden="false" customHeight="false" outlineLevel="0" collapsed="false">
      <c r="A223" s="0" t="s">
        <v>277</v>
      </c>
      <c r="B223" s="0" t="s">
        <v>49</v>
      </c>
      <c r="C223" s="0" t="s">
        <v>41</v>
      </c>
      <c r="D223" s="0" t="n">
        <v>87</v>
      </c>
      <c r="E223" s="0" t="n">
        <v>736203.14</v>
      </c>
    </row>
    <row r="224" customFormat="false" ht="15" hidden="false" customHeight="false" outlineLevel="0" collapsed="false">
      <c r="A224" s="0" t="s">
        <v>278</v>
      </c>
      <c r="B224" s="0" t="s">
        <v>36</v>
      </c>
      <c r="C224" s="0" t="s">
        <v>37</v>
      </c>
      <c r="D224" s="0" t="n">
        <v>82</v>
      </c>
      <c r="E224" s="0" t="n">
        <v>728024.42</v>
      </c>
    </row>
    <row r="225" customFormat="false" ht="15" hidden="false" customHeight="false" outlineLevel="0" collapsed="false">
      <c r="A225" s="0" t="s">
        <v>279</v>
      </c>
      <c r="B225" s="0" t="s">
        <v>36</v>
      </c>
      <c r="C225" s="0" t="s">
        <v>89</v>
      </c>
      <c r="D225" s="0" t="n">
        <v>58</v>
      </c>
      <c r="E225" s="0" t="n">
        <v>623954.21</v>
      </c>
    </row>
    <row r="226" customFormat="false" ht="15" hidden="false" customHeight="false" outlineLevel="0" collapsed="false">
      <c r="A226" s="0" t="s">
        <v>280</v>
      </c>
      <c r="B226" s="0" t="s">
        <v>36</v>
      </c>
      <c r="C226" s="0" t="s">
        <v>37</v>
      </c>
      <c r="D226" s="0" t="n">
        <v>64</v>
      </c>
      <c r="E226" s="0" t="n">
        <v>638549.05</v>
      </c>
    </row>
    <row r="227" customFormat="false" ht="15" hidden="false" customHeight="false" outlineLevel="0" collapsed="false">
      <c r="A227" s="0" t="s">
        <v>281</v>
      </c>
      <c r="B227" s="0" t="s">
        <v>40</v>
      </c>
      <c r="C227" s="0" t="s">
        <v>53</v>
      </c>
      <c r="D227" s="0" t="n">
        <v>9</v>
      </c>
      <c r="E227" s="0" t="n">
        <v>1387636.45</v>
      </c>
    </row>
    <row r="228" customFormat="false" ht="15" hidden="false" customHeight="false" outlineLevel="0" collapsed="false">
      <c r="A228" s="0" t="s">
        <v>282</v>
      </c>
      <c r="B228" s="0" t="s">
        <v>49</v>
      </c>
      <c r="C228" s="0" t="s">
        <v>44</v>
      </c>
      <c r="D228" s="0" t="n">
        <v>43</v>
      </c>
      <c r="E228" s="0" t="n">
        <v>890218.43</v>
      </c>
    </row>
    <row r="229" customFormat="false" ht="15" hidden="false" customHeight="false" outlineLevel="0" collapsed="false">
      <c r="A229" s="0" t="s">
        <v>283</v>
      </c>
      <c r="B229" s="0" t="s">
        <v>49</v>
      </c>
      <c r="C229" s="0" t="s">
        <v>68</v>
      </c>
      <c r="D229" s="0" t="n">
        <v>47</v>
      </c>
      <c r="E229" s="0" t="n">
        <v>876514.17</v>
      </c>
    </row>
    <row r="230" customFormat="false" ht="15" hidden="false" customHeight="false" outlineLevel="0" collapsed="false">
      <c r="A230" s="0" t="s">
        <v>284</v>
      </c>
      <c r="B230" s="0" t="s">
        <v>40</v>
      </c>
      <c r="C230" s="0" t="s">
        <v>41</v>
      </c>
      <c r="D230" s="0" t="n">
        <v>22</v>
      </c>
      <c r="E230" s="0" t="n">
        <v>1576985.14</v>
      </c>
    </row>
    <row r="231" customFormat="false" ht="15" hidden="false" customHeight="false" outlineLevel="0" collapsed="false">
      <c r="A231" s="0" t="s">
        <v>285</v>
      </c>
      <c r="B231" s="0" t="s">
        <v>36</v>
      </c>
      <c r="C231" s="0" t="s">
        <v>53</v>
      </c>
      <c r="D231" s="0" t="n">
        <v>89</v>
      </c>
      <c r="E231" s="0" t="n">
        <v>628306.18</v>
      </c>
    </row>
    <row r="232" customFormat="false" ht="15" hidden="false" customHeight="false" outlineLevel="0" collapsed="false">
      <c r="A232" s="0" t="s">
        <v>286</v>
      </c>
      <c r="B232" s="0" t="s">
        <v>49</v>
      </c>
      <c r="C232" s="0" t="s">
        <v>53</v>
      </c>
      <c r="D232" s="0" t="n">
        <v>94</v>
      </c>
      <c r="E232" s="0" t="n">
        <v>929310.67</v>
      </c>
    </row>
    <row r="233" customFormat="false" ht="15" hidden="false" customHeight="false" outlineLevel="0" collapsed="false">
      <c r="A233" s="0" t="s">
        <v>287</v>
      </c>
      <c r="B233" s="0" t="s">
        <v>36</v>
      </c>
      <c r="C233" s="0" t="s">
        <v>37</v>
      </c>
      <c r="D233" s="0" t="n">
        <v>50</v>
      </c>
      <c r="E233" s="0" t="n">
        <v>367160.54</v>
      </c>
    </row>
    <row r="234" customFormat="false" ht="15" hidden="false" customHeight="false" outlineLevel="0" collapsed="false">
      <c r="A234" s="0" t="s">
        <v>288</v>
      </c>
      <c r="B234" s="0" t="s">
        <v>49</v>
      </c>
      <c r="C234" s="0" t="s">
        <v>53</v>
      </c>
      <c r="D234" s="0" t="n">
        <v>31</v>
      </c>
      <c r="E234" s="0" t="n">
        <v>520348.07</v>
      </c>
    </row>
    <row r="235" customFormat="false" ht="15" hidden="false" customHeight="false" outlineLevel="0" collapsed="false">
      <c r="A235" s="0" t="s">
        <v>289</v>
      </c>
      <c r="B235" s="0" t="s">
        <v>36</v>
      </c>
      <c r="C235" s="0" t="s">
        <v>68</v>
      </c>
      <c r="D235" s="0" t="n">
        <v>44</v>
      </c>
      <c r="E235" s="0" t="n">
        <v>705215.07</v>
      </c>
    </row>
    <row r="236" customFormat="false" ht="15" hidden="false" customHeight="false" outlineLevel="0" collapsed="false">
      <c r="A236" s="0" t="s">
        <v>290</v>
      </c>
      <c r="B236" s="0" t="s">
        <v>36</v>
      </c>
      <c r="C236" s="0" t="s">
        <v>68</v>
      </c>
      <c r="D236" s="0" t="n">
        <v>90</v>
      </c>
      <c r="E236" s="0" t="n">
        <v>480356.84</v>
      </c>
    </row>
    <row r="237" customFormat="false" ht="15" hidden="false" customHeight="false" outlineLevel="0" collapsed="false">
      <c r="A237" s="0" t="s">
        <v>291</v>
      </c>
      <c r="B237" s="0" t="s">
        <v>49</v>
      </c>
      <c r="C237" s="0" t="s">
        <v>41</v>
      </c>
      <c r="D237" s="0" t="n">
        <v>89</v>
      </c>
      <c r="E237" s="0" t="n">
        <v>870170.41</v>
      </c>
    </row>
    <row r="238" customFormat="false" ht="15" hidden="false" customHeight="false" outlineLevel="0" collapsed="false">
      <c r="A238" s="0" t="s">
        <v>292</v>
      </c>
      <c r="B238" s="0" t="s">
        <v>49</v>
      </c>
      <c r="C238" s="0" t="s">
        <v>44</v>
      </c>
      <c r="D238" s="0" t="n">
        <v>39</v>
      </c>
      <c r="E238" s="0" t="n">
        <v>573386.04</v>
      </c>
    </row>
    <row r="239" customFormat="false" ht="15" hidden="false" customHeight="false" outlineLevel="0" collapsed="false">
      <c r="A239" s="0" t="s">
        <v>293</v>
      </c>
      <c r="B239" s="0" t="s">
        <v>36</v>
      </c>
      <c r="C239" s="0" t="s">
        <v>41</v>
      </c>
      <c r="D239" s="0" t="n">
        <v>75</v>
      </c>
      <c r="E239" s="0" t="n">
        <v>578655.84</v>
      </c>
    </row>
    <row r="240" customFormat="false" ht="15" hidden="false" customHeight="false" outlineLevel="0" collapsed="false">
      <c r="A240" s="0" t="s">
        <v>294</v>
      </c>
      <c r="B240" s="0" t="s">
        <v>49</v>
      </c>
      <c r="C240" s="0" t="s">
        <v>89</v>
      </c>
      <c r="D240" s="0" t="n">
        <v>33</v>
      </c>
      <c r="E240" s="0" t="n">
        <v>863196.45</v>
      </c>
    </row>
    <row r="241" customFormat="false" ht="15" hidden="false" customHeight="false" outlineLevel="0" collapsed="false">
      <c r="A241" s="0" t="s">
        <v>295</v>
      </c>
      <c r="B241" s="0" t="s">
        <v>40</v>
      </c>
      <c r="C241" s="0" t="s">
        <v>50</v>
      </c>
      <c r="D241" s="0" t="n">
        <v>14</v>
      </c>
      <c r="E241" s="0" t="n">
        <v>961481.98</v>
      </c>
    </row>
    <row r="242" customFormat="false" ht="15" hidden="false" customHeight="false" outlineLevel="0" collapsed="false">
      <c r="A242" s="0" t="s">
        <v>296</v>
      </c>
      <c r="B242" s="0" t="s">
        <v>36</v>
      </c>
      <c r="C242" s="0" t="s">
        <v>44</v>
      </c>
      <c r="D242" s="0" t="n">
        <v>39</v>
      </c>
      <c r="E242" s="0" t="n">
        <v>339142.15</v>
      </c>
    </row>
    <row r="243" customFormat="false" ht="15" hidden="false" customHeight="false" outlineLevel="0" collapsed="false">
      <c r="A243" s="0" t="s">
        <v>297</v>
      </c>
      <c r="B243" s="0" t="s">
        <v>36</v>
      </c>
      <c r="C243" s="0" t="s">
        <v>64</v>
      </c>
      <c r="D243" s="0" t="n">
        <v>9</v>
      </c>
      <c r="E243" s="0" t="n">
        <v>631809.39</v>
      </c>
    </row>
    <row r="244" customFormat="false" ht="15" hidden="false" customHeight="false" outlineLevel="0" collapsed="false">
      <c r="A244" s="0" t="s">
        <v>298</v>
      </c>
      <c r="B244" s="0" t="s">
        <v>49</v>
      </c>
      <c r="C244" s="0" t="s">
        <v>41</v>
      </c>
      <c r="D244" s="0" t="n">
        <v>38</v>
      </c>
      <c r="E244" s="0" t="n">
        <v>578566.21</v>
      </c>
    </row>
    <row r="245" customFormat="false" ht="15" hidden="false" customHeight="false" outlineLevel="0" collapsed="false">
      <c r="A245" s="0" t="s">
        <v>299</v>
      </c>
      <c r="B245" s="0" t="s">
        <v>49</v>
      </c>
      <c r="C245" s="0" t="s">
        <v>64</v>
      </c>
      <c r="D245" s="0" t="n">
        <v>40</v>
      </c>
      <c r="E245" s="0" t="n">
        <v>964738.97</v>
      </c>
    </row>
    <row r="246" customFormat="false" ht="15" hidden="false" customHeight="false" outlineLevel="0" collapsed="false">
      <c r="A246" s="0" t="s">
        <v>300</v>
      </c>
      <c r="B246" s="0" t="s">
        <v>49</v>
      </c>
      <c r="C246" s="0" t="s">
        <v>41</v>
      </c>
      <c r="D246" s="0" t="n">
        <v>78</v>
      </c>
      <c r="E246" s="0" t="n">
        <v>894328.79</v>
      </c>
    </row>
    <row r="247" customFormat="false" ht="15" hidden="false" customHeight="false" outlineLevel="0" collapsed="false">
      <c r="A247" s="0" t="s">
        <v>301</v>
      </c>
      <c r="B247" s="0" t="s">
        <v>66</v>
      </c>
      <c r="C247" s="0" t="s">
        <v>53</v>
      </c>
      <c r="D247" s="0" t="n">
        <v>89</v>
      </c>
      <c r="E247" s="0" t="n">
        <v>3128481.35</v>
      </c>
    </row>
    <row r="248" customFormat="false" ht="15" hidden="false" customHeight="false" outlineLevel="0" collapsed="false">
      <c r="A248" s="0" t="s">
        <v>302</v>
      </c>
      <c r="B248" s="0" t="s">
        <v>40</v>
      </c>
      <c r="C248" s="0" t="s">
        <v>64</v>
      </c>
      <c r="D248" s="0" t="n">
        <v>48</v>
      </c>
      <c r="E248" s="0" t="n">
        <v>825242.3</v>
      </c>
    </row>
    <row r="249" customFormat="false" ht="15" hidden="false" customHeight="false" outlineLevel="0" collapsed="false">
      <c r="A249" s="0" t="s">
        <v>303</v>
      </c>
      <c r="B249" s="0" t="s">
        <v>36</v>
      </c>
      <c r="C249" s="0" t="s">
        <v>44</v>
      </c>
      <c r="D249" s="0" t="n">
        <v>59</v>
      </c>
      <c r="E249" s="0" t="n">
        <v>746650.33</v>
      </c>
    </row>
    <row r="250" customFormat="false" ht="15" hidden="false" customHeight="false" outlineLevel="0" collapsed="false">
      <c r="A250" s="0" t="s">
        <v>304</v>
      </c>
      <c r="B250" s="0" t="s">
        <v>36</v>
      </c>
      <c r="C250" s="0" t="s">
        <v>64</v>
      </c>
      <c r="D250" s="0" t="n">
        <v>19</v>
      </c>
      <c r="E250" s="0" t="n">
        <v>424776.76</v>
      </c>
    </row>
    <row r="251" customFormat="false" ht="15" hidden="false" customHeight="false" outlineLevel="0" collapsed="false">
      <c r="A251" s="0" t="s">
        <v>305</v>
      </c>
      <c r="B251" s="0" t="s">
        <v>36</v>
      </c>
      <c r="C251" s="0" t="s">
        <v>81</v>
      </c>
      <c r="D251" s="0" t="n">
        <v>26</v>
      </c>
      <c r="E251" s="0" t="n">
        <v>458539.06</v>
      </c>
    </row>
    <row r="252" customFormat="false" ht="15" hidden="false" customHeight="false" outlineLevel="0" collapsed="false">
      <c r="A252" s="0" t="s">
        <v>306</v>
      </c>
      <c r="B252" s="0" t="s">
        <v>49</v>
      </c>
      <c r="C252" s="0" t="s">
        <v>50</v>
      </c>
      <c r="D252" s="0" t="n">
        <v>7</v>
      </c>
      <c r="E252" s="0" t="n">
        <v>821312.82</v>
      </c>
    </row>
    <row r="253" customFormat="false" ht="15" hidden="false" customHeight="false" outlineLevel="0" collapsed="false">
      <c r="A253" s="0" t="s">
        <v>307</v>
      </c>
      <c r="B253" s="0" t="s">
        <v>66</v>
      </c>
      <c r="C253" s="0" t="s">
        <v>41</v>
      </c>
      <c r="D253" s="0" t="n">
        <v>22</v>
      </c>
      <c r="E253" s="0" t="n">
        <v>3115543.63</v>
      </c>
    </row>
    <row r="254" customFormat="false" ht="15" hidden="false" customHeight="false" outlineLevel="0" collapsed="false">
      <c r="A254" s="0" t="s">
        <v>308</v>
      </c>
      <c r="B254" s="0" t="s">
        <v>36</v>
      </c>
      <c r="C254" s="0" t="s">
        <v>89</v>
      </c>
      <c r="D254" s="0" t="n">
        <v>35</v>
      </c>
      <c r="E254" s="0" t="n">
        <v>685725.14</v>
      </c>
    </row>
    <row r="255" customFormat="false" ht="15" hidden="false" customHeight="false" outlineLevel="0" collapsed="false">
      <c r="A255" s="0" t="s">
        <v>309</v>
      </c>
      <c r="B255" s="0" t="s">
        <v>40</v>
      </c>
      <c r="C255" s="0" t="s">
        <v>44</v>
      </c>
      <c r="D255" s="0" t="n">
        <v>11</v>
      </c>
      <c r="E255" s="0" t="n">
        <v>1547069.32</v>
      </c>
    </row>
    <row r="256" customFormat="false" ht="15" hidden="false" customHeight="false" outlineLevel="0" collapsed="false">
      <c r="A256" s="0" t="s">
        <v>310</v>
      </c>
      <c r="B256" s="0" t="s">
        <v>49</v>
      </c>
      <c r="C256" s="0" t="s">
        <v>41</v>
      </c>
      <c r="D256" s="0" t="n">
        <v>71</v>
      </c>
      <c r="E256" s="0" t="n">
        <v>511187.01</v>
      </c>
    </row>
    <row r="257" customFormat="false" ht="15" hidden="false" customHeight="false" outlineLevel="0" collapsed="false">
      <c r="A257" s="0" t="s">
        <v>311</v>
      </c>
      <c r="B257" s="0" t="s">
        <v>36</v>
      </c>
      <c r="C257" s="0" t="s">
        <v>53</v>
      </c>
      <c r="D257" s="0" t="n">
        <v>53</v>
      </c>
      <c r="E257" s="0" t="n">
        <v>752194.2</v>
      </c>
    </row>
    <row r="258" customFormat="false" ht="15" hidden="false" customHeight="false" outlineLevel="0" collapsed="false">
      <c r="A258" s="0" t="s">
        <v>312</v>
      </c>
      <c r="B258" s="0" t="s">
        <v>36</v>
      </c>
      <c r="C258" s="0" t="s">
        <v>41</v>
      </c>
      <c r="D258" s="0" t="n">
        <v>94</v>
      </c>
      <c r="E258" s="0" t="n">
        <v>402623.03</v>
      </c>
    </row>
    <row r="259" customFormat="false" ht="15" hidden="false" customHeight="false" outlineLevel="0" collapsed="false">
      <c r="A259" s="0" t="s">
        <v>313</v>
      </c>
      <c r="B259" s="0" t="s">
        <v>49</v>
      </c>
      <c r="C259" s="0" t="s">
        <v>64</v>
      </c>
      <c r="D259" s="0" t="n">
        <v>95</v>
      </c>
      <c r="E259" s="0" t="n">
        <v>1054629.45</v>
      </c>
    </row>
    <row r="260" customFormat="false" ht="15" hidden="false" customHeight="false" outlineLevel="0" collapsed="false">
      <c r="A260" s="0" t="s">
        <v>314</v>
      </c>
      <c r="B260" s="0" t="s">
        <v>36</v>
      </c>
      <c r="C260" s="0" t="s">
        <v>68</v>
      </c>
      <c r="D260" s="0" t="n">
        <v>28</v>
      </c>
      <c r="E260" s="0" t="n">
        <v>600758.34</v>
      </c>
    </row>
    <row r="261" customFormat="false" ht="15" hidden="false" customHeight="false" outlineLevel="0" collapsed="false">
      <c r="A261" s="0" t="s">
        <v>315</v>
      </c>
      <c r="B261" s="0" t="s">
        <v>36</v>
      </c>
      <c r="C261" s="0" t="s">
        <v>76</v>
      </c>
      <c r="D261" s="0" t="n">
        <v>36</v>
      </c>
      <c r="E261" s="0" t="n">
        <v>415053.1</v>
      </c>
    </row>
    <row r="262" customFormat="false" ht="15" hidden="false" customHeight="false" outlineLevel="0" collapsed="false">
      <c r="A262" s="0" t="s">
        <v>316</v>
      </c>
      <c r="B262" s="0" t="s">
        <v>49</v>
      </c>
      <c r="C262" s="0" t="s">
        <v>53</v>
      </c>
      <c r="D262" s="0" t="n">
        <v>24</v>
      </c>
      <c r="E262" s="0" t="n">
        <v>775838.14</v>
      </c>
    </row>
    <row r="263" customFormat="false" ht="15" hidden="false" customHeight="false" outlineLevel="0" collapsed="false">
      <c r="A263" s="0" t="s">
        <v>317</v>
      </c>
      <c r="B263" s="0" t="s">
        <v>40</v>
      </c>
      <c r="C263" s="0" t="s">
        <v>41</v>
      </c>
      <c r="D263" s="0" t="n">
        <v>65</v>
      </c>
      <c r="E263" s="0" t="n">
        <v>929032.05</v>
      </c>
    </row>
    <row r="264" customFormat="false" ht="15" hidden="false" customHeight="false" outlineLevel="0" collapsed="false">
      <c r="A264" s="0" t="s">
        <v>318</v>
      </c>
      <c r="B264" s="0" t="s">
        <v>49</v>
      </c>
      <c r="C264" s="0" t="s">
        <v>81</v>
      </c>
      <c r="D264" s="0" t="n">
        <v>46</v>
      </c>
      <c r="E264" s="0" t="n">
        <v>848195.35</v>
      </c>
    </row>
    <row r="265" customFormat="false" ht="15" hidden="false" customHeight="false" outlineLevel="0" collapsed="false">
      <c r="A265" s="0" t="s">
        <v>319</v>
      </c>
      <c r="B265" s="0" t="s">
        <v>49</v>
      </c>
      <c r="C265" s="0" t="s">
        <v>37</v>
      </c>
      <c r="D265" s="0" t="n">
        <v>52</v>
      </c>
      <c r="E265" s="0" t="n">
        <v>528405.95</v>
      </c>
    </row>
    <row r="266" customFormat="false" ht="15" hidden="false" customHeight="false" outlineLevel="0" collapsed="false">
      <c r="A266" s="0" t="s">
        <v>320</v>
      </c>
      <c r="B266" s="0" t="s">
        <v>49</v>
      </c>
      <c r="C266" s="0" t="s">
        <v>50</v>
      </c>
      <c r="D266" s="0" t="n">
        <v>64</v>
      </c>
      <c r="E266" s="0" t="n">
        <v>1095719.74</v>
      </c>
    </row>
    <row r="267" customFormat="false" ht="15" hidden="false" customHeight="false" outlineLevel="0" collapsed="false">
      <c r="A267" s="0" t="s">
        <v>321</v>
      </c>
      <c r="B267" s="0" t="s">
        <v>40</v>
      </c>
      <c r="C267" s="0" t="s">
        <v>44</v>
      </c>
      <c r="D267" s="0" t="n">
        <v>81</v>
      </c>
      <c r="E267" s="0" t="n">
        <v>1330773.97</v>
      </c>
    </row>
    <row r="268" customFormat="false" ht="15" hidden="false" customHeight="false" outlineLevel="0" collapsed="false">
      <c r="A268" s="0" t="s">
        <v>322</v>
      </c>
      <c r="B268" s="0" t="s">
        <v>49</v>
      </c>
      <c r="C268" s="0" t="s">
        <v>53</v>
      </c>
      <c r="D268" s="0" t="n">
        <v>14</v>
      </c>
      <c r="E268" s="0" t="n">
        <v>470065.44</v>
      </c>
    </row>
    <row r="269" customFormat="false" ht="15" hidden="false" customHeight="false" outlineLevel="0" collapsed="false">
      <c r="A269" s="0" t="s">
        <v>323</v>
      </c>
      <c r="B269" s="0" t="s">
        <v>40</v>
      </c>
      <c r="C269" s="0" t="s">
        <v>68</v>
      </c>
      <c r="D269" s="0" t="n">
        <v>36</v>
      </c>
      <c r="E269" s="0" t="n">
        <v>1248511.2</v>
      </c>
    </row>
    <row r="270" customFormat="false" ht="15" hidden="false" customHeight="false" outlineLevel="0" collapsed="false">
      <c r="A270" s="0" t="s">
        <v>324</v>
      </c>
      <c r="B270" s="0" t="s">
        <v>40</v>
      </c>
      <c r="C270" s="0" t="s">
        <v>81</v>
      </c>
      <c r="D270" s="0" t="n">
        <v>39</v>
      </c>
      <c r="E270" s="0" t="n">
        <v>810874.52</v>
      </c>
    </row>
    <row r="271" customFormat="false" ht="15" hidden="false" customHeight="false" outlineLevel="0" collapsed="false">
      <c r="A271" s="0" t="s">
        <v>325</v>
      </c>
      <c r="B271" s="0" t="s">
        <v>49</v>
      </c>
      <c r="C271" s="0" t="s">
        <v>81</v>
      </c>
      <c r="D271" s="0" t="n">
        <v>82</v>
      </c>
      <c r="E271" s="0" t="n">
        <v>620810.28</v>
      </c>
    </row>
    <row r="272" customFormat="false" ht="15" hidden="false" customHeight="false" outlineLevel="0" collapsed="false">
      <c r="A272" s="0" t="s">
        <v>326</v>
      </c>
      <c r="B272" s="0" t="s">
        <v>40</v>
      </c>
      <c r="C272" s="0" t="s">
        <v>53</v>
      </c>
      <c r="D272" s="0" t="n">
        <v>38</v>
      </c>
      <c r="E272" s="0" t="n">
        <v>1758531.38</v>
      </c>
    </row>
    <row r="273" customFormat="false" ht="15" hidden="false" customHeight="false" outlineLevel="0" collapsed="false">
      <c r="A273" s="0" t="s">
        <v>327</v>
      </c>
      <c r="B273" s="0" t="s">
        <v>40</v>
      </c>
      <c r="C273" s="0" t="s">
        <v>50</v>
      </c>
      <c r="D273" s="0" t="n">
        <v>40</v>
      </c>
      <c r="E273" s="0" t="n">
        <v>1982745.87</v>
      </c>
    </row>
    <row r="274" customFormat="false" ht="15" hidden="false" customHeight="false" outlineLevel="0" collapsed="false">
      <c r="A274" s="0" t="s">
        <v>328</v>
      </c>
      <c r="B274" s="0" t="s">
        <v>49</v>
      </c>
      <c r="C274" s="0" t="s">
        <v>64</v>
      </c>
      <c r="D274" s="0" t="n">
        <v>62</v>
      </c>
      <c r="E274" s="0" t="n">
        <v>753241.58</v>
      </c>
    </row>
    <row r="275" customFormat="false" ht="15" hidden="false" customHeight="false" outlineLevel="0" collapsed="false">
      <c r="A275" s="0" t="s">
        <v>329</v>
      </c>
      <c r="B275" s="0" t="s">
        <v>36</v>
      </c>
      <c r="C275" s="0" t="s">
        <v>89</v>
      </c>
      <c r="D275" s="0" t="n">
        <v>74</v>
      </c>
      <c r="E275" s="0" t="n">
        <v>499031.35</v>
      </c>
    </row>
    <row r="276" customFormat="false" ht="15" hidden="false" customHeight="false" outlineLevel="0" collapsed="false">
      <c r="A276" s="0" t="s">
        <v>330</v>
      </c>
      <c r="B276" s="0" t="s">
        <v>49</v>
      </c>
      <c r="C276" s="0" t="s">
        <v>64</v>
      </c>
      <c r="D276" s="0" t="n">
        <v>37</v>
      </c>
      <c r="E276" s="0" t="n">
        <v>744453.32</v>
      </c>
    </row>
    <row r="277" customFormat="false" ht="15" hidden="false" customHeight="false" outlineLevel="0" collapsed="false">
      <c r="A277" s="0" t="s">
        <v>331</v>
      </c>
      <c r="B277" s="0" t="s">
        <v>36</v>
      </c>
      <c r="C277" s="0" t="s">
        <v>53</v>
      </c>
      <c r="D277" s="0" t="n">
        <v>43</v>
      </c>
      <c r="E277" s="0" t="n">
        <v>563638.52</v>
      </c>
    </row>
    <row r="278" customFormat="false" ht="15" hidden="false" customHeight="false" outlineLevel="0" collapsed="false">
      <c r="A278" s="0" t="s">
        <v>332</v>
      </c>
      <c r="B278" s="0" t="s">
        <v>49</v>
      </c>
      <c r="C278" s="0" t="s">
        <v>64</v>
      </c>
      <c r="D278" s="0" t="n">
        <v>62</v>
      </c>
      <c r="E278" s="0" t="n">
        <v>690429.82</v>
      </c>
    </row>
    <row r="279" customFormat="false" ht="15" hidden="false" customHeight="false" outlineLevel="0" collapsed="false">
      <c r="A279" s="0" t="s">
        <v>333</v>
      </c>
      <c r="B279" s="0" t="s">
        <v>49</v>
      </c>
      <c r="C279" s="0" t="s">
        <v>41</v>
      </c>
      <c r="D279" s="0" t="n">
        <v>95</v>
      </c>
      <c r="E279" s="0" t="n">
        <v>568217.75</v>
      </c>
    </row>
    <row r="280" customFormat="false" ht="15" hidden="false" customHeight="false" outlineLevel="0" collapsed="false">
      <c r="A280" s="0" t="s">
        <v>334</v>
      </c>
      <c r="B280" s="0" t="s">
        <v>49</v>
      </c>
      <c r="C280" s="0" t="s">
        <v>37</v>
      </c>
      <c r="D280" s="0" t="n">
        <v>16</v>
      </c>
      <c r="E280" s="0" t="n">
        <v>628124.52</v>
      </c>
    </row>
    <row r="281" customFormat="false" ht="15" hidden="false" customHeight="false" outlineLevel="0" collapsed="false">
      <c r="A281" s="0" t="s">
        <v>335</v>
      </c>
      <c r="B281" s="0" t="s">
        <v>36</v>
      </c>
      <c r="C281" s="0" t="s">
        <v>53</v>
      </c>
      <c r="D281" s="0" t="n">
        <v>95</v>
      </c>
      <c r="E281" s="0" t="n">
        <v>619615.33</v>
      </c>
    </row>
    <row r="282" customFormat="false" ht="15" hidden="false" customHeight="false" outlineLevel="0" collapsed="false">
      <c r="A282" s="0" t="s">
        <v>336</v>
      </c>
      <c r="B282" s="0" t="s">
        <v>49</v>
      </c>
      <c r="C282" s="0" t="s">
        <v>44</v>
      </c>
      <c r="D282" s="0" t="n">
        <v>52</v>
      </c>
      <c r="E282" s="0" t="n">
        <v>982349.32</v>
      </c>
    </row>
    <row r="283" customFormat="false" ht="15" hidden="false" customHeight="false" outlineLevel="0" collapsed="false">
      <c r="A283" s="0" t="s">
        <v>337</v>
      </c>
      <c r="B283" s="0" t="s">
        <v>36</v>
      </c>
      <c r="C283" s="0" t="s">
        <v>76</v>
      </c>
      <c r="D283" s="0" t="n">
        <v>41</v>
      </c>
      <c r="E283" s="0" t="n">
        <v>452686.77</v>
      </c>
    </row>
    <row r="284" customFormat="false" ht="15" hidden="false" customHeight="false" outlineLevel="0" collapsed="false">
      <c r="A284" s="0" t="s">
        <v>338</v>
      </c>
      <c r="B284" s="0" t="s">
        <v>49</v>
      </c>
      <c r="C284" s="0" t="s">
        <v>50</v>
      </c>
      <c r="D284" s="0" t="n">
        <v>41</v>
      </c>
      <c r="E284" s="0" t="n">
        <v>712339.15</v>
      </c>
    </row>
    <row r="285" customFormat="false" ht="15" hidden="false" customHeight="false" outlineLevel="0" collapsed="false">
      <c r="A285" s="0" t="s">
        <v>339</v>
      </c>
      <c r="B285" s="0" t="s">
        <v>36</v>
      </c>
      <c r="C285" s="0" t="s">
        <v>44</v>
      </c>
      <c r="D285" s="0" t="n">
        <v>23</v>
      </c>
      <c r="E285" s="0" t="n">
        <v>429124.07</v>
      </c>
    </row>
    <row r="286" customFormat="false" ht="15" hidden="false" customHeight="false" outlineLevel="0" collapsed="false">
      <c r="A286" s="0" t="s">
        <v>340</v>
      </c>
      <c r="B286" s="0" t="s">
        <v>36</v>
      </c>
      <c r="C286" s="0" t="s">
        <v>37</v>
      </c>
      <c r="D286" s="0" t="n">
        <v>92</v>
      </c>
      <c r="E286" s="0" t="n">
        <v>465705.51</v>
      </c>
    </row>
    <row r="287" customFormat="false" ht="15" hidden="false" customHeight="false" outlineLevel="0" collapsed="false">
      <c r="A287" s="0" t="s">
        <v>341</v>
      </c>
      <c r="B287" s="0" t="s">
        <v>36</v>
      </c>
      <c r="C287" s="0" t="s">
        <v>81</v>
      </c>
      <c r="D287" s="0" t="n">
        <v>33</v>
      </c>
      <c r="E287" s="0" t="n">
        <v>604287.53</v>
      </c>
    </row>
    <row r="288" customFormat="false" ht="15" hidden="false" customHeight="false" outlineLevel="0" collapsed="false">
      <c r="A288" s="0" t="s">
        <v>342</v>
      </c>
      <c r="B288" s="0" t="s">
        <v>49</v>
      </c>
      <c r="C288" s="0" t="s">
        <v>64</v>
      </c>
      <c r="D288" s="0" t="n">
        <v>45</v>
      </c>
      <c r="E288" s="0" t="n">
        <v>981647.95</v>
      </c>
    </row>
    <row r="289" customFormat="false" ht="15" hidden="false" customHeight="false" outlineLevel="0" collapsed="false">
      <c r="A289" s="0" t="s">
        <v>343</v>
      </c>
      <c r="B289" s="0" t="s">
        <v>40</v>
      </c>
      <c r="C289" s="0" t="s">
        <v>37</v>
      </c>
      <c r="D289" s="0" t="n">
        <v>43</v>
      </c>
      <c r="E289" s="0" t="n">
        <v>1636872.91</v>
      </c>
    </row>
    <row r="290" customFormat="false" ht="15" hidden="false" customHeight="false" outlineLevel="0" collapsed="false">
      <c r="A290" s="0" t="s">
        <v>344</v>
      </c>
      <c r="B290" s="0" t="s">
        <v>40</v>
      </c>
      <c r="C290" s="0" t="s">
        <v>53</v>
      </c>
      <c r="D290" s="0" t="n">
        <v>45</v>
      </c>
      <c r="E290" s="0" t="n">
        <v>1060505.09</v>
      </c>
    </row>
    <row r="291" customFormat="false" ht="15" hidden="false" customHeight="false" outlineLevel="0" collapsed="false">
      <c r="A291" s="0" t="s">
        <v>345</v>
      </c>
      <c r="B291" s="0" t="s">
        <v>49</v>
      </c>
      <c r="C291" s="0" t="s">
        <v>76</v>
      </c>
      <c r="D291" s="0" t="n">
        <v>51</v>
      </c>
      <c r="E291" s="0" t="n">
        <v>533852.4</v>
      </c>
    </row>
    <row r="292" customFormat="false" ht="15" hidden="false" customHeight="false" outlineLevel="0" collapsed="false">
      <c r="A292" s="0" t="s">
        <v>346</v>
      </c>
      <c r="B292" s="0" t="s">
        <v>49</v>
      </c>
      <c r="C292" s="0" t="s">
        <v>81</v>
      </c>
      <c r="D292" s="0" t="n">
        <v>6</v>
      </c>
      <c r="E292" s="0" t="n">
        <v>847290.25</v>
      </c>
    </row>
    <row r="293" customFormat="false" ht="15" hidden="false" customHeight="false" outlineLevel="0" collapsed="false">
      <c r="A293" s="0" t="s">
        <v>347</v>
      </c>
      <c r="B293" s="0" t="s">
        <v>49</v>
      </c>
      <c r="C293" s="0" t="s">
        <v>53</v>
      </c>
      <c r="D293" s="0" t="n">
        <v>30</v>
      </c>
      <c r="E293" s="0" t="n">
        <v>610585.05</v>
      </c>
    </row>
    <row r="294" customFormat="false" ht="15" hidden="false" customHeight="false" outlineLevel="0" collapsed="false">
      <c r="A294" s="0" t="s">
        <v>348</v>
      </c>
      <c r="B294" s="0" t="s">
        <v>40</v>
      </c>
      <c r="C294" s="0" t="s">
        <v>41</v>
      </c>
      <c r="D294" s="0" t="n">
        <v>19</v>
      </c>
      <c r="E294" s="0" t="n">
        <v>1607555.4</v>
      </c>
    </row>
    <row r="295" customFormat="false" ht="15" hidden="false" customHeight="false" outlineLevel="0" collapsed="false">
      <c r="A295" s="0" t="s">
        <v>349</v>
      </c>
      <c r="B295" s="0" t="s">
        <v>49</v>
      </c>
      <c r="C295" s="0" t="s">
        <v>50</v>
      </c>
      <c r="D295" s="0" t="n">
        <v>38</v>
      </c>
      <c r="E295" s="0" t="n">
        <v>735076.12</v>
      </c>
    </row>
    <row r="296" customFormat="false" ht="15" hidden="false" customHeight="false" outlineLevel="0" collapsed="false">
      <c r="A296" s="0" t="s">
        <v>350</v>
      </c>
      <c r="B296" s="0" t="s">
        <v>36</v>
      </c>
      <c r="C296" s="0" t="s">
        <v>41</v>
      </c>
      <c r="D296" s="0" t="n">
        <v>62</v>
      </c>
      <c r="E296" s="0" t="n">
        <v>833212.02</v>
      </c>
    </row>
    <row r="297" customFormat="false" ht="15" hidden="false" customHeight="false" outlineLevel="0" collapsed="false">
      <c r="A297" s="0" t="s">
        <v>351</v>
      </c>
      <c r="B297" s="0" t="s">
        <v>36</v>
      </c>
      <c r="C297" s="0" t="s">
        <v>37</v>
      </c>
      <c r="D297" s="0" t="n">
        <v>72</v>
      </c>
      <c r="E297" s="0" t="n">
        <v>488398.51</v>
      </c>
    </row>
    <row r="298" customFormat="false" ht="15" hidden="false" customHeight="false" outlineLevel="0" collapsed="false">
      <c r="A298" s="0" t="s">
        <v>352</v>
      </c>
      <c r="B298" s="0" t="s">
        <v>49</v>
      </c>
      <c r="C298" s="0" t="s">
        <v>53</v>
      </c>
      <c r="D298" s="0" t="n">
        <v>89</v>
      </c>
      <c r="E298" s="0" t="n">
        <v>659178.32</v>
      </c>
    </row>
    <row r="299" customFormat="false" ht="15" hidden="false" customHeight="false" outlineLevel="0" collapsed="false">
      <c r="A299" s="0" t="s">
        <v>353</v>
      </c>
      <c r="B299" s="0" t="s">
        <v>36</v>
      </c>
      <c r="C299" s="0" t="s">
        <v>64</v>
      </c>
      <c r="D299" s="0" t="n">
        <v>25</v>
      </c>
      <c r="E299" s="0" t="n">
        <v>409506.26</v>
      </c>
    </row>
    <row r="300" customFormat="false" ht="15" hidden="false" customHeight="false" outlineLevel="0" collapsed="false">
      <c r="A300" s="0" t="s">
        <v>354</v>
      </c>
      <c r="B300" s="0" t="s">
        <v>36</v>
      </c>
      <c r="C300" s="0" t="s">
        <v>76</v>
      </c>
      <c r="D300" s="0" t="n">
        <v>29</v>
      </c>
      <c r="E300" s="0" t="n">
        <v>472157.34</v>
      </c>
    </row>
    <row r="301" customFormat="false" ht="15" hidden="false" customHeight="false" outlineLevel="0" collapsed="false">
      <c r="A301" s="0" t="s">
        <v>355</v>
      </c>
      <c r="B301" s="0" t="s">
        <v>40</v>
      </c>
      <c r="C301" s="0" t="s">
        <v>89</v>
      </c>
      <c r="D301" s="0" t="n">
        <v>45</v>
      </c>
      <c r="E301" s="0" t="n">
        <v>1065377.32</v>
      </c>
    </row>
    <row r="302" customFormat="false" ht="15" hidden="false" customHeight="false" outlineLevel="0" collapsed="false">
      <c r="A302" s="0" t="s">
        <v>356</v>
      </c>
      <c r="B302" s="0" t="s">
        <v>49</v>
      </c>
      <c r="C302" s="0" t="s">
        <v>50</v>
      </c>
      <c r="D302" s="0" t="n">
        <v>19</v>
      </c>
      <c r="E302" s="0" t="n">
        <v>477512.12</v>
      </c>
    </row>
    <row r="303" customFormat="false" ht="15" hidden="false" customHeight="false" outlineLevel="0" collapsed="false">
      <c r="A303" s="0" t="s">
        <v>357</v>
      </c>
      <c r="B303" s="0" t="s">
        <v>66</v>
      </c>
      <c r="C303" s="0" t="s">
        <v>76</v>
      </c>
      <c r="D303" s="0" t="n">
        <v>70</v>
      </c>
      <c r="E303" s="0" t="n">
        <v>2618397.76</v>
      </c>
    </row>
    <row r="304" customFormat="false" ht="15" hidden="false" customHeight="false" outlineLevel="0" collapsed="false">
      <c r="A304" s="0" t="s">
        <v>358</v>
      </c>
      <c r="B304" s="0" t="s">
        <v>36</v>
      </c>
      <c r="C304" s="0" t="s">
        <v>81</v>
      </c>
      <c r="D304" s="0" t="n">
        <v>71</v>
      </c>
      <c r="E304" s="0" t="n">
        <v>552794.85</v>
      </c>
    </row>
    <row r="305" customFormat="false" ht="15" hidden="false" customHeight="false" outlineLevel="0" collapsed="false">
      <c r="A305" s="0" t="s">
        <v>359</v>
      </c>
      <c r="B305" s="0" t="s">
        <v>49</v>
      </c>
      <c r="C305" s="0" t="s">
        <v>81</v>
      </c>
      <c r="D305" s="0" t="n">
        <v>84</v>
      </c>
      <c r="E305" s="0" t="n">
        <v>875422.5</v>
      </c>
    </row>
    <row r="306" customFormat="false" ht="15" hidden="false" customHeight="false" outlineLevel="0" collapsed="false">
      <c r="A306" s="0" t="s">
        <v>360</v>
      </c>
      <c r="B306" s="0" t="s">
        <v>40</v>
      </c>
      <c r="C306" s="0" t="s">
        <v>53</v>
      </c>
      <c r="D306" s="0" t="n">
        <v>3</v>
      </c>
      <c r="E306" s="0" t="n">
        <v>1697451.56</v>
      </c>
    </row>
    <row r="307" customFormat="false" ht="15" hidden="false" customHeight="false" outlineLevel="0" collapsed="false">
      <c r="A307" s="0" t="s">
        <v>361</v>
      </c>
      <c r="B307" s="0" t="s">
        <v>49</v>
      </c>
      <c r="C307" s="0" t="s">
        <v>37</v>
      </c>
      <c r="D307" s="0" t="n">
        <v>21</v>
      </c>
      <c r="E307" s="0" t="n">
        <v>815846.19</v>
      </c>
    </row>
    <row r="308" customFormat="false" ht="15" hidden="false" customHeight="false" outlineLevel="0" collapsed="false">
      <c r="A308" s="0" t="s">
        <v>362</v>
      </c>
      <c r="B308" s="0" t="s">
        <v>49</v>
      </c>
      <c r="C308" s="0" t="s">
        <v>41</v>
      </c>
      <c r="D308" s="0" t="n">
        <v>36</v>
      </c>
      <c r="E308" s="0" t="n">
        <v>598407.59</v>
      </c>
    </row>
    <row r="309" customFormat="false" ht="15" hidden="false" customHeight="false" outlineLevel="0" collapsed="false">
      <c r="A309" s="0" t="s">
        <v>363</v>
      </c>
      <c r="B309" s="0" t="s">
        <v>49</v>
      </c>
      <c r="C309" s="0" t="s">
        <v>53</v>
      </c>
      <c r="D309" s="0" t="n">
        <v>16</v>
      </c>
      <c r="E309" s="0" t="n">
        <v>893867.03</v>
      </c>
    </row>
    <row r="310" customFormat="false" ht="15" hidden="false" customHeight="false" outlineLevel="0" collapsed="false">
      <c r="A310" s="0" t="s">
        <v>364</v>
      </c>
      <c r="B310" s="0" t="s">
        <v>40</v>
      </c>
      <c r="C310" s="0" t="s">
        <v>37</v>
      </c>
      <c r="D310" s="0" t="n">
        <v>44</v>
      </c>
      <c r="E310" s="0" t="n">
        <v>1121352.49</v>
      </c>
    </row>
    <row r="311" customFormat="false" ht="15" hidden="false" customHeight="false" outlineLevel="0" collapsed="false">
      <c r="A311" s="0" t="s">
        <v>365</v>
      </c>
      <c r="B311" s="0" t="s">
        <v>40</v>
      </c>
      <c r="C311" s="0" t="s">
        <v>41</v>
      </c>
      <c r="D311" s="0" t="n">
        <v>3</v>
      </c>
      <c r="E311" s="0" t="n">
        <v>924470.53</v>
      </c>
    </row>
    <row r="312" customFormat="false" ht="15" hidden="false" customHeight="false" outlineLevel="0" collapsed="false">
      <c r="A312" s="0" t="s">
        <v>366</v>
      </c>
      <c r="B312" s="0" t="s">
        <v>36</v>
      </c>
      <c r="C312" s="0" t="s">
        <v>50</v>
      </c>
      <c r="D312" s="0" t="n">
        <v>57</v>
      </c>
      <c r="E312" s="0" t="n">
        <v>743729.98</v>
      </c>
    </row>
    <row r="313" customFormat="false" ht="15" hidden="false" customHeight="false" outlineLevel="0" collapsed="false">
      <c r="A313" s="0" t="s">
        <v>367</v>
      </c>
      <c r="B313" s="0" t="s">
        <v>49</v>
      </c>
      <c r="C313" s="0" t="s">
        <v>53</v>
      </c>
      <c r="D313" s="0" t="n">
        <v>59</v>
      </c>
      <c r="E313" s="0" t="n">
        <v>721043.44</v>
      </c>
    </row>
    <row r="314" customFormat="false" ht="15" hidden="false" customHeight="false" outlineLevel="0" collapsed="false">
      <c r="A314" s="0" t="s">
        <v>368</v>
      </c>
      <c r="B314" s="0" t="s">
        <v>40</v>
      </c>
      <c r="C314" s="0" t="s">
        <v>44</v>
      </c>
      <c r="D314" s="0" t="n">
        <v>49</v>
      </c>
      <c r="E314" s="0" t="n">
        <v>674823.05</v>
      </c>
    </row>
    <row r="315" customFormat="false" ht="15" hidden="false" customHeight="false" outlineLevel="0" collapsed="false">
      <c r="A315" s="0" t="s">
        <v>369</v>
      </c>
      <c r="B315" s="0" t="s">
        <v>36</v>
      </c>
      <c r="C315" s="0" t="s">
        <v>44</v>
      </c>
      <c r="D315" s="0" t="n">
        <v>51</v>
      </c>
      <c r="E315" s="0" t="n">
        <v>697808.43</v>
      </c>
    </row>
    <row r="316" customFormat="false" ht="15" hidden="false" customHeight="false" outlineLevel="0" collapsed="false">
      <c r="A316" s="0" t="s">
        <v>370</v>
      </c>
      <c r="B316" s="0" t="s">
        <v>36</v>
      </c>
      <c r="C316" s="0" t="s">
        <v>44</v>
      </c>
      <c r="D316" s="0" t="n">
        <v>11</v>
      </c>
      <c r="E316" s="0" t="n">
        <v>690811.28</v>
      </c>
    </row>
    <row r="317" customFormat="false" ht="15" hidden="false" customHeight="false" outlineLevel="0" collapsed="false">
      <c r="A317" s="0" t="s">
        <v>371</v>
      </c>
      <c r="B317" s="0" t="s">
        <v>49</v>
      </c>
      <c r="C317" s="0" t="s">
        <v>68</v>
      </c>
      <c r="D317" s="0" t="n">
        <v>42</v>
      </c>
      <c r="E317" s="0" t="n">
        <v>1024729.54</v>
      </c>
    </row>
    <row r="318" customFormat="false" ht="15" hidden="false" customHeight="false" outlineLevel="0" collapsed="false">
      <c r="A318" s="0" t="s">
        <v>372</v>
      </c>
      <c r="B318" s="0" t="s">
        <v>40</v>
      </c>
      <c r="C318" s="0" t="s">
        <v>53</v>
      </c>
      <c r="D318" s="0" t="n">
        <v>81</v>
      </c>
      <c r="E318" s="0" t="n">
        <v>1306331.9</v>
      </c>
    </row>
    <row r="319" customFormat="false" ht="15" hidden="false" customHeight="false" outlineLevel="0" collapsed="false">
      <c r="A319" s="0" t="s">
        <v>373</v>
      </c>
      <c r="B319" s="0" t="s">
        <v>49</v>
      </c>
      <c r="C319" s="0" t="s">
        <v>41</v>
      </c>
      <c r="D319" s="0" t="n">
        <v>5</v>
      </c>
      <c r="E319" s="0" t="n">
        <v>561564.9</v>
      </c>
    </row>
    <row r="320" customFormat="false" ht="15" hidden="false" customHeight="false" outlineLevel="0" collapsed="false">
      <c r="A320" s="0" t="s">
        <v>374</v>
      </c>
      <c r="B320" s="0" t="s">
        <v>40</v>
      </c>
      <c r="C320" s="0" t="s">
        <v>44</v>
      </c>
      <c r="D320" s="0" t="n">
        <v>30</v>
      </c>
      <c r="E320" s="0" t="n">
        <v>984775.13</v>
      </c>
    </row>
    <row r="321" customFormat="false" ht="15" hidden="false" customHeight="false" outlineLevel="0" collapsed="false">
      <c r="A321" s="0" t="s">
        <v>375</v>
      </c>
      <c r="B321" s="0" t="s">
        <v>36</v>
      </c>
      <c r="C321" s="0" t="s">
        <v>64</v>
      </c>
      <c r="D321" s="0" t="n">
        <v>77</v>
      </c>
      <c r="E321" s="0" t="n">
        <v>505045.46</v>
      </c>
    </row>
    <row r="322" customFormat="false" ht="15" hidden="false" customHeight="false" outlineLevel="0" collapsed="false">
      <c r="A322" s="0" t="s">
        <v>376</v>
      </c>
      <c r="B322" s="0" t="s">
        <v>49</v>
      </c>
      <c r="C322" s="0" t="s">
        <v>53</v>
      </c>
      <c r="D322" s="0" t="n">
        <v>70</v>
      </c>
      <c r="E322" s="0" t="n">
        <v>650959.08</v>
      </c>
    </row>
    <row r="323" customFormat="false" ht="15" hidden="false" customHeight="false" outlineLevel="0" collapsed="false">
      <c r="A323" s="0" t="s">
        <v>377</v>
      </c>
      <c r="B323" s="0" t="s">
        <v>36</v>
      </c>
      <c r="C323" s="0" t="s">
        <v>68</v>
      </c>
      <c r="D323" s="0" t="n">
        <v>15</v>
      </c>
      <c r="E323" s="0" t="n">
        <v>436815.05</v>
      </c>
    </row>
    <row r="324" customFormat="false" ht="15" hidden="false" customHeight="false" outlineLevel="0" collapsed="false">
      <c r="A324" s="0" t="s">
        <v>378</v>
      </c>
      <c r="B324" s="0" t="s">
        <v>49</v>
      </c>
      <c r="C324" s="0" t="s">
        <v>37</v>
      </c>
      <c r="D324" s="0" t="n">
        <v>8</v>
      </c>
      <c r="E324" s="0" t="n">
        <v>736387.22</v>
      </c>
    </row>
    <row r="325" customFormat="false" ht="15" hidden="false" customHeight="false" outlineLevel="0" collapsed="false">
      <c r="A325" s="0" t="s">
        <v>379</v>
      </c>
      <c r="B325" s="0" t="s">
        <v>36</v>
      </c>
      <c r="C325" s="0" t="s">
        <v>44</v>
      </c>
      <c r="D325" s="0" t="n">
        <v>73</v>
      </c>
      <c r="E325" s="0" t="n">
        <v>359135.72</v>
      </c>
    </row>
    <row r="326" customFormat="false" ht="15" hidden="false" customHeight="false" outlineLevel="0" collapsed="false">
      <c r="A326" s="0" t="s">
        <v>380</v>
      </c>
      <c r="B326" s="0" t="s">
        <v>40</v>
      </c>
      <c r="C326" s="0" t="s">
        <v>53</v>
      </c>
      <c r="D326" s="0" t="n">
        <v>6</v>
      </c>
      <c r="E326" s="0" t="n">
        <v>1964013.17</v>
      </c>
    </row>
    <row r="327" customFormat="false" ht="15" hidden="false" customHeight="false" outlineLevel="0" collapsed="false">
      <c r="A327" s="0" t="s">
        <v>381</v>
      </c>
      <c r="B327" s="0" t="s">
        <v>40</v>
      </c>
      <c r="C327" s="0" t="s">
        <v>53</v>
      </c>
      <c r="D327" s="0" t="n">
        <v>86</v>
      </c>
      <c r="E327" s="0" t="n">
        <v>1534402.51</v>
      </c>
    </row>
    <row r="328" customFormat="false" ht="15" hidden="false" customHeight="false" outlineLevel="0" collapsed="false">
      <c r="A328" s="0" t="s">
        <v>382</v>
      </c>
      <c r="B328" s="0" t="s">
        <v>49</v>
      </c>
      <c r="C328" s="0" t="s">
        <v>37</v>
      </c>
      <c r="D328" s="0" t="n">
        <v>90</v>
      </c>
      <c r="E328" s="0" t="n">
        <v>1096593.04</v>
      </c>
    </row>
    <row r="329" customFormat="false" ht="15" hidden="false" customHeight="false" outlineLevel="0" collapsed="false">
      <c r="A329" s="0" t="s">
        <v>383</v>
      </c>
      <c r="B329" s="0" t="s">
        <v>36</v>
      </c>
      <c r="C329" s="0" t="s">
        <v>44</v>
      </c>
      <c r="D329" s="0" t="n">
        <v>55</v>
      </c>
      <c r="E329" s="0" t="n">
        <v>409113.39</v>
      </c>
    </row>
    <row r="330" customFormat="false" ht="15" hidden="false" customHeight="false" outlineLevel="0" collapsed="false">
      <c r="A330" s="0" t="s">
        <v>384</v>
      </c>
      <c r="B330" s="0" t="s">
        <v>66</v>
      </c>
      <c r="C330" s="0" t="s">
        <v>41</v>
      </c>
      <c r="D330" s="0" t="n">
        <v>13</v>
      </c>
      <c r="E330" s="0" t="n">
        <v>2877926.57</v>
      </c>
    </row>
    <row r="331" customFormat="false" ht="15" hidden="false" customHeight="false" outlineLevel="0" collapsed="false">
      <c r="A331" s="0" t="s">
        <v>385</v>
      </c>
      <c r="B331" s="0" t="s">
        <v>36</v>
      </c>
      <c r="C331" s="0" t="s">
        <v>44</v>
      </c>
      <c r="D331" s="0" t="n">
        <v>13</v>
      </c>
      <c r="E331" s="0" t="n">
        <v>557012.85</v>
      </c>
    </row>
    <row r="332" customFormat="false" ht="15" hidden="false" customHeight="false" outlineLevel="0" collapsed="false">
      <c r="A332" s="0" t="s">
        <v>386</v>
      </c>
      <c r="B332" s="0" t="s">
        <v>49</v>
      </c>
      <c r="C332" s="0" t="s">
        <v>53</v>
      </c>
      <c r="D332" s="0" t="n">
        <v>53</v>
      </c>
      <c r="E332" s="0" t="n">
        <v>820568.56</v>
      </c>
    </row>
    <row r="333" customFormat="false" ht="15" hidden="false" customHeight="false" outlineLevel="0" collapsed="false">
      <c r="A333" s="0" t="s">
        <v>387</v>
      </c>
      <c r="B333" s="0" t="s">
        <v>49</v>
      </c>
      <c r="C333" s="0" t="s">
        <v>64</v>
      </c>
      <c r="D333" s="0" t="n">
        <v>41</v>
      </c>
      <c r="E333" s="0" t="n">
        <v>467957.19</v>
      </c>
    </row>
    <row r="334" customFormat="false" ht="15" hidden="false" customHeight="false" outlineLevel="0" collapsed="false">
      <c r="A334" s="0" t="s">
        <v>388</v>
      </c>
      <c r="B334" s="0" t="s">
        <v>49</v>
      </c>
      <c r="C334" s="0" t="s">
        <v>53</v>
      </c>
      <c r="D334" s="0" t="n">
        <v>77</v>
      </c>
      <c r="E334" s="0" t="n">
        <v>812092.77</v>
      </c>
    </row>
    <row r="335" customFormat="false" ht="15" hidden="false" customHeight="false" outlineLevel="0" collapsed="false">
      <c r="A335" s="0" t="s">
        <v>389</v>
      </c>
      <c r="B335" s="0" t="s">
        <v>36</v>
      </c>
      <c r="C335" s="0" t="s">
        <v>50</v>
      </c>
      <c r="D335" s="0" t="n">
        <v>33</v>
      </c>
      <c r="E335" s="0" t="n">
        <v>379482.83</v>
      </c>
    </row>
    <row r="336" customFormat="false" ht="15" hidden="false" customHeight="false" outlineLevel="0" collapsed="false">
      <c r="A336" s="0" t="s">
        <v>390</v>
      </c>
      <c r="B336" s="0" t="s">
        <v>49</v>
      </c>
      <c r="C336" s="0" t="s">
        <v>44</v>
      </c>
      <c r="D336" s="0" t="n">
        <v>84</v>
      </c>
      <c r="E336" s="0" t="n">
        <v>490117.2</v>
      </c>
    </row>
    <row r="337" customFormat="false" ht="15" hidden="false" customHeight="false" outlineLevel="0" collapsed="false">
      <c r="A337" s="0" t="s">
        <v>391</v>
      </c>
      <c r="B337" s="0" t="s">
        <v>36</v>
      </c>
      <c r="C337" s="0" t="s">
        <v>64</v>
      </c>
      <c r="D337" s="0" t="n">
        <v>87</v>
      </c>
      <c r="E337" s="0" t="n">
        <v>611909.03</v>
      </c>
    </row>
    <row r="338" customFormat="false" ht="15" hidden="false" customHeight="false" outlineLevel="0" collapsed="false">
      <c r="A338" s="0" t="s">
        <v>392</v>
      </c>
      <c r="B338" s="0" t="s">
        <v>49</v>
      </c>
      <c r="C338" s="0" t="s">
        <v>53</v>
      </c>
      <c r="D338" s="0" t="n">
        <v>79</v>
      </c>
      <c r="E338" s="0" t="n">
        <v>1017116.98</v>
      </c>
    </row>
    <row r="339" customFormat="false" ht="15" hidden="false" customHeight="false" outlineLevel="0" collapsed="false">
      <c r="A339" s="0" t="s">
        <v>393</v>
      </c>
      <c r="B339" s="0" t="s">
        <v>40</v>
      </c>
      <c r="C339" s="0" t="s">
        <v>37</v>
      </c>
      <c r="D339" s="0" t="n">
        <v>76</v>
      </c>
      <c r="E339" s="0" t="n">
        <v>1123966.02</v>
      </c>
    </row>
    <row r="340" customFormat="false" ht="15" hidden="false" customHeight="false" outlineLevel="0" collapsed="false">
      <c r="A340" s="0" t="s">
        <v>394</v>
      </c>
      <c r="B340" s="0" t="s">
        <v>49</v>
      </c>
      <c r="C340" s="0" t="s">
        <v>50</v>
      </c>
      <c r="D340" s="0" t="n">
        <v>88</v>
      </c>
      <c r="E340" s="0" t="n">
        <v>701248.28</v>
      </c>
    </row>
    <row r="341" customFormat="false" ht="15" hidden="false" customHeight="false" outlineLevel="0" collapsed="false">
      <c r="A341" s="0" t="s">
        <v>395</v>
      </c>
      <c r="B341" s="0" t="s">
        <v>36</v>
      </c>
      <c r="C341" s="0" t="s">
        <v>68</v>
      </c>
      <c r="D341" s="0" t="n">
        <v>87</v>
      </c>
      <c r="E341" s="0" t="n">
        <v>556442.7</v>
      </c>
    </row>
    <row r="342" customFormat="false" ht="15" hidden="false" customHeight="false" outlineLevel="0" collapsed="false">
      <c r="A342" s="0" t="s">
        <v>396</v>
      </c>
      <c r="B342" s="0" t="s">
        <v>66</v>
      </c>
      <c r="C342" s="0" t="s">
        <v>53</v>
      </c>
      <c r="D342" s="0" t="n">
        <v>20</v>
      </c>
      <c r="E342" s="0" t="n">
        <v>2807776.86</v>
      </c>
    </row>
    <row r="343" customFormat="false" ht="15" hidden="false" customHeight="false" outlineLevel="0" collapsed="false">
      <c r="A343" s="0" t="s">
        <v>397</v>
      </c>
      <c r="B343" s="0" t="s">
        <v>49</v>
      </c>
      <c r="C343" s="0" t="s">
        <v>53</v>
      </c>
      <c r="D343" s="0" t="n">
        <v>85</v>
      </c>
      <c r="E343" s="0" t="n">
        <v>992471.89</v>
      </c>
    </row>
    <row r="344" customFormat="false" ht="15" hidden="false" customHeight="false" outlineLevel="0" collapsed="false">
      <c r="A344" s="0" t="s">
        <v>398</v>
      </c>
      <c r="B344" s="0" t="s">
        <v>49</v>
      </c>
      <c r="C344" s="0" t="s">
        <v>37</v>
      </c>
      <c r="D344" s="0" t="n">
        <v>94</v>
      </c>
      <c r="E344" s="0" t="n">
        <v>1091248.18</v>
      </c>
    </row>
    <row r="345" customFormat="false" ht="15" hidden="false" customHeight="false" outlineLevel="0" collapsed="false">
      <c r="A345" s="0" t="s">
        <v>399</v>
      </c>
      <c r="B345" s="0" t="s">
        <v>49</v>
      </c>
      <c r="C345" s="0" t="s">
        <v>53</v>
      </c>
      <c r="D345" s="0" t="n">
        <v>4</v>
      </c>
      <c r="E345" s="0" t="n">
        <v>387637.68</v>
      </c>
    </row>
    <row r="346" customFormat="false" ht="15" hidden="false" customHeight="false" outlineLevel="0" collapsed="false">
      <c r="A346" s="0" t="s">
        <v>400</v>
      </c>
      <c r="B346" s="0" t="s">
        <v>49</v>
      </c>
      <c r="C346" s="0" t="s">
        <v>68</v>
      </c>
      <c r="D346" s="0" t="n">
        <v>10</v>
      </c>
      <c r="E346" s="0" t="n">
        <v>577091.3</v>
      </c>
    </row>
    <row r="347" customFormat="false" ht="15" hidden="false" customHeight="false" outlineLevel="0" collapsed="false">
      <c r="A347" s="0" t="s">
        <v>401</v>
      </c>
      <c r="B347" s="0" t="s">
        <v>36</v>
      </c>
      <c r="C347" s="0" t="s">
        <v>89</v>
      </c>
      <c r="D347" s="0" t="n">
        <v>32</v>
      </c>
      <c r="E347" s="0" t="n">
        <v>380664.56</v>
      </c>
    </row>
    <row r="348" customFormat="false" ht="15" hidden="false" customHeight="false" outlineLevel="0" collapsed="false">
      <c r="A348" s="0" t="s">
        <v>402</v>
      </c>
      <c r="B348" s="0" t="s">
        <v>40</v>
      </c>
      <c r="C348" s="0" t="s">
        <v>64</v>
      </c>
      <c r="D348" s="0" t="n">
        <v>48</v>
      </c>
      <c r="E348" s="0" t="n">
        <v>940824.89</v>
      </c>
    </row>
    <row r="349" customFormat="false" ht="15" hidden="false" customHeight="false" outlineLevel="0" collapsed="false">
      <c r="A349" s="0" t="s">
        <v>403</v>
      </c>
      <c r="B349" s="0" t="s">
        <v>36</v>
      </c>
      <c r="C349" s="0" t="s">
        <v>53</v>
      </c>
      <c r="D349" s="0" t="n">
        <v>35</v>
      </c>
      <c r="E349" s="0" t="n">
        <v>713970.56</v>
      </c>
    </row>
    <row r="350" customFormat="false" ht="15" hidden="false" customHeight="false" outlineLevel="0" collapsed="false">
      <c r="A350" s="0" t="s">
        <v>404</v>
      </c>
      <c r="B350" s="0" t="s">
        <v>49</v>
      </c>
      <c r="C350" s="0" t="s">
        <v>41</v>
      </c>
      <c r="D350" s="0" t="n">
        <v>35</v>
      </c>
      <c r="E350" s="0" t="n">
        <v>512262.93</v>
      </c>
    </row>
    <row r="351" customFormat="false" ht="15" hidden="false" customHeight="false" outlineLevel="0" collapsed="false">
      <c r="A351" s="0" t="s">
        <v>405</v>
      </c>
      <c r="B351" s="0" t="s">
        <v>49</v>
      </c>
      <c r="C351" s="0" t="s">
        <v>37</v>
      </c>
      <c r="D351" s="0" t="n">
        <v>33</v>
      </c>
      <c r="E351" s="0" t="n">
        <v>848405.57</v>
      </c>
    </row>
    <row r="352" customFormat="false" ht="15" hidden="false" customHeight="false" outlineLevel="0" collapsed="false">
      <c r="A352" s="0" t="s">
        <v>406</v>
      </c>
      <c r="B352" s="0" t="s">
        <v>36</v>
      </c>
      <c r="C352" s="0" t="s">
        <v>53</v>
      </c>
      <c r="D352" s="0" t="n">
        <v>24</v>
      </c>
      <c r="E352" s="0" t="n">
        <v>567594.4</v>
      </c>
    </row>
    <row r="353" customFormat="false" ht="15" hidden="false" customHeight="false" outlineLevel="0" collapsed="false">
      <c r="A353" s="0" t="s">
        <v>407</v>
      </c>
      <c r="B353" s="0" t="s">
        <v>36</v>
      </c>
      <c r="C353" s="0" t="s">
        <v>41</v>
      </c>
      <c r="D353" s="0" t="n">
        <v>22</v>
      </c>
      <c r="E353" s="0" t="n">
        <v>452772.42</v>
      </c>
    </row>
    <row r="354" customFormat="false" ht="15" hidden="false" customHeight="false" outlineLevel="0" collapsed="false">
      <c r="A354" s="0" t="s">
        <v>408</v>
      </c>
      <c r="B354" s="0" t="s">
        <v>36</v>
      </c>
      <c r="C354" s="0" t="s">
        <v>41</v>
      </c>
      <c r="D354" s="0" t="n">
        <v>84</v>
      </c>
      <c r="E354" s="0" t="n">
        <v>511268.74</v>
      </c>
    </row>
    <row r="355" customFormat="false" ht="15" hidden="false" customHeight="false" outlineLevel="0" collapsed="false">
      <c r="A355" s="0" t="s">
        <v>409</v>
      </c>
      <c r="B355" s="0" t="s">
        <v>40</v>
      </c>
      <c r="C355" s="0" t="s">
        <v>41</v>
      </c>
      <c r="D355" s="0" t="n">
        <v>55</v>
      </c>
      <c r="E355" s="0" t="n">
        <v>1449036.69</v>
      </c>
    </row>
    <row r="356" customFormat="false" ht="15" hidden="false" customHeight="false" outlineLevel="0" collapsed="false">
      <c r="A356" s="0" t="s">
        <v>410</v>
      </c>
      <c r="B356" s="0" t="s">
        <v>36</v>
      </c>
      <c r="C356" s="0" t="s">
        <v>64</v>
      </c>
      <c r="D356" s="0" t="n">
        <v>53</v>
      </c>
      <c r="E356" s="0" t="n">
        <v>591889.33</v>
      </c>
    </row>
    <row r="357" customFormat="false" ht="15" hidden="false" customHeight="false" outlineLevel="0" collapsed="false">
      <c r="A357" s="0" t="s">
        <v>411</v>
      </c>
      <c r="B357" s="0" t="s">
        <v>66</v>
      </c>
      <c r="C357" s="0" t="s">
        <v>53</v>
      </c>
      <c r="D357" s="0" t="n">
        <v>82</v>
      </c>
      <c r="E357" s="0" t="n">
        <v>1959306.96</v>
      </c>
    </row>
    <row r="358" customFormat="false" ht="15" hidden="false" customHeight="false" outlineLevel="0" collapsed="false">
      <c r="A358" s="0" t="s">
        <v>412</v>
      </c>
      <c r="B358" s="0" t="s">
        <v>40</v>
      </c>
      <c r="C358" s="0" t="s">
        <v>50</v>
      </c>
      <c r="D358" s="0" t="n">
        <v>4</v>
      </c>
      <c r="E358" s="0" t="n">
        <v>1173349.61</v>
      </c>
    </row>
    <row r="359" customFormat="false" ht="15" hidden="false" customHeight="false" outlineLevel="0" collapsed="false">
      <c r="A359" s="0" t="s">
        <v>413</v>
      </c>
      <c r="B359" s="0" t="s">
        <v>49</v>
      </c>
      <c r="C359" s="0" t="s">
        <v>44</v>
      </c>
      <c r="D359" s="0" t="n">
        <v>13</v>
      </c>
      <c r="E359" s="0" t="n">
        <v>480642.53</v>
      </c>
    </row>
    <row r="360" customFormat="false" ht="15" hidden="false" customHeight="false" outlineLevel="0" collapsed="false">
      <c r="A360" s="0" t="s">
        <v>414</v>
      </c>
      <c r="B360" s="0" t="s">
        <v>49</v>
      </c>
      <c r="C360" s="0" t="s">
        <v>53</v>
      </c>
      <c r="D360" s="0" t="n">
        <v>4</v>
      </c>
      <c r="E360" s="0" t="n">
        <v>635096.92</v>
      </c>
    </row>
    <row r="361" customFormat="false" ht="15" hidden="false" customHeight="false" outlineLevel="0" collapsed="false">
      <c r="A361" s="0" t="s">
        <v>415</v>
      </c>
      <c r="B361" s="0" t="s">
        <v>36</v>
      </c>
      <c r="C361" s="0" t="s">
        <v>41</v>
      </c>
      <c r="D361" s="0" t="n">
        <v>7</v>
      </c>
      <c r="E361" s="0" t="n">
        <v>480006.12</v>
      </c>
    </row>
    <row r="362" customFormat="false" ht="15" hidden="false" customHeight="false" outlineLevel="0" collapsed="false">
      <c r="A362" s="0" t="s">
        <v>416</v>
      </c>
      <c r="B362" s="0" t="s">
        <v>40</v>
      </c>
      <c r="C362" s="0" t="s">
        <v>41</v>
      </c>
      <c r="D362" s="0" t="n">
        <v>85</v>
      </c>
      <c r="E362" s="0" t="n">
        <v>1400377.73</v>
      </c>
    </row>
    <row r="363" customFormat="false" ht="15" hidden="false" customHeight="false" outlineLevel="0" collapsed="false">
      <c r="A363" s="0" t="s">
        <v>417</v>
      </c>
      <c r="B363" s="0" t="s">
        <v>36</v>
      </c>
      <c r="C363" s="0" t="s">
        <v>44</v>
      </c>
      <c r="D363" s="0" t="n">
        <v>95</v>
      </c>
      <c r="E363" s="0" t="n">
        <v>623851.29</v>
      </c>
    </row>
    <row r="364" customFormat="false" ht="15" hidden="false" customHeight="false" outlineLevel="0" collapsed="false">
      <c r="A364" s="0" t="s">
        <v>418</v>
      </c>
      <c r="B364" s="0" t="s">
        <v>49</v>
      </c>
      <c r="C364" s="0" t="s">
        <v>53</v>
      </c>
      <c r="D364" s="0" t="n">
        <v>58</v>
      </c>
      <c r="E364" s="0" t="n">
        <v>873759.44</v>
      </c>
    </row>
    <row r="365" customFormat="false" ht="15" hidden="false" customHeight="false" outlineLevel="0" collapsed="false">
      <c r="A365" s="0" t="s">
        <v>419</v>
      </c>
      <c r="B365" s="0" t="s">
        <v>36</v>
      </c>
      <c r="C365" s="0" t="s">
        <v>76</v>
      </c>
      <c r="D365" s="0" t="n">
        <v>43</v>
      </c>
      <c r="E365" s="0" t="n">
        <v>524500.48</v>
      </c>
    </row>
    <row r="366" customFormat="false" ht="15" hidden="false" customHeight="false" outlineLevel="0" collapsed="false">
      <c r="A366" s="0" t="s">
        <v>420</v>
      </c>
      <c r="B366" s="0" t="s">
        <v>36</v>
      </c>
      <c r="C366" s="0" t="s">
        <v>50</v>
      </c>
      <c r="D366" s="0" t="n">
        <v>86</v>
      </c>
      <c r="E366" s="0" t="n">
        <v>673546.43</v>
      </c>
    </row>
    <row r="367" customFormat="false" ht="15" hidden="false" customHeight="false" outlineLevel="0" collapsed="false">
      <c r="A367" s="0" t="s">
        <v>421</v>
      </c>
      <c r="B367" s="0" t="s">
        <v>49</v>
      </c>
      <c r="C367" s="0" t="s">
        <v>41</v>
      </c>
      <c r="D367" s="0" t="n">
        <v>50</v>
      </c>
      <c r="E367" s="0" t="n">
        <v>679869.31</v>
      </c>
    </row>
    <row r="368" customFormat="false" ht="15" hidden="false" customHeight="false" outlineLevel="0" collapsed="false">
      <c r="A368" s="0" t="s">
        <v>422</v>
      </c>
      <c r="B368" s="0" t="s">
        <v>36</v>
      </c>
      <c r="C368" s="0" t="s">
        <v>64</v>
      </c>
      <c r="D368" s="0" t="n">
        <v>91</v>
      </c>
      <c r="E368" s="0" t="n">
        <v>621022.65</v>
      </c>
    </row>
    <row r="369" customFormat="false" ht="15" hidden="false" customHeight="false" outlineLevel="0" collapsed="false">
      <c r="A369" s="0" t="s">
        <v>423</v>
      </c>
      <c r="B369" s="0" t="s">
        <v>49</v>
      </c>
      <c r="C369" s="0" t="s">
        <v>81</v>
      </c>
      <c r="D369" s="0" t="n">
        <v>36</v>
      </c>
      <c r="E369" s="0" t="n">
        <v>969348.51</v>
      </c>
    </row>
    <row r="370" customFormat="false" ht="15" hidden="false" customHeight="false" outlineLevel="0" collapsed="false">
      <c r="A370" s="0" t="s">
        <v>424</v>
      </c>
      <c r="B370" s="0" t="s">
        <v>36</v>
      </c>
      <c r="C370" s="0" t="s">
        <v>53</v>
      </c>
      <c r="D370" s="0" t="n">
        <v>93</v>
      </c>
      <c r="E370" s="0" t="n">
        <v>369469.53</v>
      </c>
    </row>
    <row r="371" customFormat="false" ht="15" hidden="false" customHeight="false" outlineLevel="0" collapsed="false">
      <c r="A371" s="0" t="s">
        <v>425</v>
      </c>
      <c r="B371" s="0" t="s">
        <v>49</v>
      </c>
      <c r="C371" s="0" t="s">
        <v>44</v>
      </c>
      <c r="D371" s="0" t="n">
        <v>51</v>
      </c>
      <c r="E371" s="0" t="n">
        <v>483604.69</v>
      </c>
    </row>
    <row r="372" customFormat="false" ht="15" hidden="false" customHeight="false" outlineLevel="0" collapsed="false">
      <c r="A372" s="0" t="s">
        <v>426</v>
      </c>
      <c r="B372" s="0" t="s">
        <v>36</v>
      </c>
      <c r="C372" s="0" t="s">
        <v>44</v>
      </c>
      <c r="D372" s="0" t="n">
        <v>13</v>
      </c>
      <c r="E372" s="0" t="n">
        <v>439548.69</v>
      </c>
    </row>
    <row r="373" customFormat="false" ht="15" hidden="false" customHeight="false" outlineLevel="0" collapsed="false">
      <c r="A373" s="0" t="s">
        <v>427</v>
      </c>
      <c r="B373" s="0" t="s">
        <v>40</v>
      </c>
      <c r="C373" s="0" t="s">
        <v>81</v>
      </c>
      <c r="D373" s="0" t="n">
        <v>39</v>
      </c>
      <c r="E373" s="0" t="n">
        <v>1378010.14</v>
      </c>
    </row>
    <row r="374" customFormat="false" ht="15" hidden="false" customHeight="false" outlineLevel="0" collapsed="false">
      <c r="A374" s="0" t="s">
        <v>428</v>
      </c>
      <c r="B374" s="0" t="s">
        <v>49</v>
      </c>
      <c r="C374" s="0" t="s">
        <v>53</v>
      </c>
      <c r="D374" s="0" t="n">
        <v>50</v>
      </c>
      <c r="E374" s="0" t="n">
        <v>621963.38</v>
      </c>
    </row>
    <row r="375" customFormat="false" ht="15" hidden="false" customHeight="false" outlineLevel="0" collapsed="false">
      <c r="A375" s="0" t="s">
        <v>429</v>
      </c>
      <c r="B375" s="0" t="s">
        <v>49</v>
      </c>
      <c r="C375" s="0" t="s">
        <v>68</v>
      </c>
      <c r="D375" s="0" t="n">
        <v>39</v>
      </c>
      <c r="E375" s="0" t="n">
        <v>551345.58</v>
      </c>
    </row>
    <row r="376" customFormat="false" ht="15" hidden="false" customHeight="false" outlineLevel="0" collapsed="false">
      <c r="A376" s="0" t="s">
        <v>430</v>
      </c>
      <c r="B376" s="0" t="s">
        <v>36</v>
      </c>
      <c r="C376" s="0" t="s">
        <v>76</v>
      </c>
      <c r="D376" s="0" t="n">
        <v>59</v>
      </c>
      <c r="E376" s="0" t="n">
        <v>619784.3</v>
      </c>
    </row>
    <row r="377" customFormat="false" ht="15" hidden="false" customHeight="false" outlineLevel="0" collapsed="false">
      <c r="A377" s="0" t="s">
        <v>431</v>
      </c>
      <c r="B377" s="0" t="s">
        <v>40</v>
      </c>
      <c r="C377" s="0" t="s">
        <v>37</v>
      </c>
      <c r="D377" s="0" t="n">
        <v>66</v>
      </c>
      <c r="E377" s="0" t="n">
        <v>1903199.55</v>
      </c>
    </row>
    <row r="378" customFormat="false" ht="15" hidden="false" customHeight="false" outlineLevel="0" collapsed="false">
      <c r="A378" s="0" t="s">
        <v>432</v>
      </c>
      <c r="B378" s="0" t="s">
        <v>36</v>
      </c>
      <c r="C378" s="0" t="s">
        <v>64</v>
      </c>
      <c r="D378" s="0" t="n">
        <v>14</v>
      </c>
      <c r="E378" s="0" t="n">
        <v>662699.83</v>
      </c>
    </row>
    <row r="379" customFormat="false" ht="15" hidden="false" customHeight="false" outlineLevel="0" collapsed="false">
      <c r="A379" s="0" t="s">
        <v>433</v>
      </c>
      <c r="B379" s="0" t="s">
        <v>40</v>
      </c>
      <c r="C379" s="0" t="s">
        <v>53</v>
      </c>
      <c r="D379" s="0" t="n">
        <v>65</v>
      </c>
      <c r="E379" s="0" t="n">
        <v>929169.6</v>
      </c>
    </row>
    <row r="380" customFormat="false" ht="15" hidden="false" customHeight="false" outlineLevel="0" collapsed="false">
      <c r="A380" s="0" t="s">
        <v>434</v>
      </c>
      <c r="B380" s="0" t="s">
        <v>36</v>
      </c>
      <c r="C380" s="0" t="s">
        <v>41</v>
      </c>
      <c r="D380" s="0" t="n">
        <v>62</v>
      </c>
      <c r="E380" s="0" t="n">
        <v>364279.25</v>
      </c>
    </row>
    <row r="381" customFormat="false" ht="15" hidden="false" customHeight="false" outlineLevel="0" collapsed="false">
      <c r="A381" s="0" t="s">
        <v>435</v>
      </c>
      <c r="B381" s="0" t="s">
        <v>49</v>
      </c>
      <c r="C381" s="0" t="s">
        <v>89</v>
      </c>
      <c r="D381" s="0" t="n">
        <v>16</v>
      </c>
      <c r="E381" s="0" t="n">
        <v>1092403.19</v>
      </c>
    </row>
    <row r="382" customFormat="false" ht="15" hidden="false" customHeight="false" outlineLevel="0" collapsed="false">
      <c r="A382" s="0" t="s">
        <v>436</v>
      </c>
      <c r="B382" s="0" t="s">
        <v>36</v>
      </c>
      <c r="C382" s="0" t="s">
        <v>44</v>
      </c>
      <c r="D382" s="0" t="n">
        <v>56</v>
      </c>
      <c r="E382" s="0" t="n">
        <v>583199.38</v>
      </c>
    </row>
    <row r="383" customFormat="false" ht="15" hidden="false" customHeight="false" outlineLevel="0" collapsed="false">
      <c r="A383" s="0" t="s">
        <v>437</v>
      </c>
      <c r="B383" s="0" t="s">
        <v>36</v>
      </c>
      <c r="C383" s="0" t="s">
        <v>81</v>
      </c>
      <c r="D383" s="0" t="n">
        <v>81</v>
      </c>
      <c r="E383" s="0" t="n">
        <v>501151.01</v>
      </c>
    </row>
    <row r="384" customFormat="false" ht="15" hidden="false" customHeight="false" outlineLevel="0" collapsed="false">
      <c r="A384" s="0" t="s">
        <v>438</v>
      </c>
      <c r="B384" s="0" t="s">
        <v>36</v>
      </c>
      <c r="C384" s="0" t="s">
        <v>68</v>
      </c>
      <c r="D384" s="0" t="n">
        <v>31</v>
      </c>
      <c r="E384" s="0" t="n">
        <v>536706.17</v>
      </c>
    </row>
    <row r="385" customFormat="false" ht="15" hidden="false" customHeight="false" outlineLevel="0" collapsed="false">
      <c r="A385" s="0" t="s">
        <v>439</v>
      </c>
      <c r="B385" s="0" t="s">
        <v>36</v>
      </c>
      <c r="C385" s="0" t="s">
        <v>50</v>
      </c>
      <c r="D385" s="0" t="n">
        <v>57</v>
      </c>
      <c r="E385" s="0" t="n">
        <v>706587.12</v>
      </c>
    </row>
    <row r="386" customFormat="false" ht="15" hidden="false" customHeight="false" outlineLevel="0" collapsed="false">
      <c r="A386" s="0" t="s">
        <v>440</v>
      </c>
      <c r="B386" s="0" t="s">
        <v>49</v>
      </c>
      <c r="C386" s="0" t="s">
        <v>68</v>
      </c>
      <c r="D386" s="0" t="n">
        <v>37</v>
      </c>
      <c r="E386" s="0" t="n">
        <v>493602.39</v>
      </c>
    </row>
    <row r="387" customFormat="false" ht="15" hidden="false" customHeight="false" outlineLevel="0" collapsed="false">
      <c r="A387" s="0" t="s">
        <v>441</v>
      </c>
      <c r="B387" s="0" t="s">
        <v>36</v>
      </c>
      <c r="C387" s="0" t="s">
        <v>53</v>
      </c>
      <c r="D387" s="0" t="n">
        <v>5</v>
      </c>
      <c r="E387" s="0" t="n">
        <v>312375.76</v>
      </c>
    </row>
    <row r="388" customFormat="false" ht="15" hidden="false" customHeight="false" outlineLevel="0" collapsed="false">
      <c r="A388" s="0" t="s">
        <v>442</v>
      </c>
      <c r="B388" s="0" t="s">
        <v>49</v>
      </c>
      <c r="C388" s="0" t="s">
        <v>64</v>
      </c>
      <c r="D388" s="0" t="n">
        <v>41</v>
      </c>
      <c r="E388" s="0" t="n">
        <v>956235.16</v>
      </c>
    </row>
    <row r="389" customFormat="false" ht="15" hidden="false" customHeight="false" outlineLevel="0" collapsed="false">
      <c r="A389" s="0" t="s">
        <v>443</v>
      </c>
      <c r="B389" s="0" t="s">
        <v>49</v>
      </c>
      <c r="C389" s="0" t="s">
        <v>41</v>
      </c>
      <c r="D389" s="0" t="n">
        <v>16</v>
      </c>
      <c r="E389" s="0" t="n">
        <v>668182.05</v>
      </c>
    </row>
    <row r="390" customFormat="false" ht="15" hidden="false" customHeight="false" outlineLevel="0" collapsed="false">
      <c r="A390" s="0" t="s">
        <v>444</v>
      </c>
      <c r="B390" s="0" t="s">
        <v>36</v>
      </c>
      <c r="C390" s="0" t="s">
        <v>81</v>
      </c>
      <c r="D390" s="0" t="n">
        <v>38</v>
      </c>
      <c r="E390" s="0" t="n">
        <v>580290.21</v>
      </c>
    </row>
    <row r="391" customFormat="false" ht="15" hidden="false" customHeight="false" outlineLevel="0" collapsed="false">
      <c r="A391" s="0" t="s">
        <v>445</v>
      </c>
      <c r="B391" s="0" t="s">
        <v>36</v>
      </c>
      <c r="C391" s="0" t="s">
        <v>64</v>
      </c>
      <c r="D391" s="0" t="n">
        <v>86</v>
      </c>
      <c r="E391" s="0" t="n">
        <v>391020.17</v>
      </c>
    </row>
    <row r="392" customFormat="false" ht="15" hidden="false" customHeight="false" outlineLevel="0" collapsed="false">
      <c r="A392" s="0" t="s">
        <v>446</v>
      </c>
      <c r="B392" s="0" t="s">
        <v>66</v>
      </c>
      <c r="C392" s="0" t="s">
        <v>44</v>
      </c>
      <c r="D392" s="0" t="n">
        <v>59</v>
      </c>
      <c r="E392" s="0" t="n">
        <v>3329314.6</v>
      </c>
    </row>
    <row r="393" customFormat="false" ht="15" hidden="false" customHeight="false" outlineLevel="0" collapsed="false">
      <c r="A393" s="0" t="s">
        <v>447</v>
      </c>
      <c r="B393" s="0" t="s">
        <v>66</v>
      </c>
      <c r="C393" s="0" t="s">
        <v>44</v>
      </c>
      <c r="D393" s="0" t="n">
        <v>34</v>
      </c>
      <c r="E393" s="0" t="n">
        <v>2819305.94</v>
      </c>
    </row>
    <row r="394" customFormat="false" ht="15" hidden="false" customHeight="false" outlineLevel="0" collapsed="false">
      <c r="A394" s="0" t="s">
        <v>448</v>
      </c>
      <c r="B394" s="0" t="s">
        <v>36</v>
      </c>
      <c r="C394" s="0" t="s">
        <v>81</v>
      </c>
      <c r="D394" s="0" t="n">
        <v>73</v>
      </c>
      <c r="E394" s="0" t="n">
        <v>579102.92</v>
      </c>
    </row>
    <row r="395" customFormat="false" ht="15" hidden="false" customHeight="false" outlineLevel="0" collapsed="false">
      <c r="A395" s="0" t="s">
        <v>449</v>
      </c>
      <c r="B395" s="0" t="s">
        <v>36</v>
      </c>
      <c r="C395" s="0" t="s">
        <v>44</v>
      </c>
      <c r="D395" s="0" t="n">
        <v>92</v>
      </c>
      <c r="E395" s="0" t="n">
        <v>474436.43</v>
      </c>
    </row>
    <row r="396" customFormat="false" ht="15" hidden="false" customHeight="false" outlineLevel="0" collapsed="false">
      <c r="A396" s="0" t="s">
        <v>450</v>
      </c>
      <c r="B396" s="0" t="s">
        <v>36</v>
      </c>
      <c r="C396" s="0" t="s">
        <v>41</v>
      </c>
      <c r="D396" s="0" t="n">
        <v>44</v>
      </c>
      <c r="E396" s="0" t="n">
        <v>664927.11</v>
      </c>
    </row>
    <row r="397" customFormat="false" ht="15" hidden="false" customHeight="false" outlineLevel="0" collapsed="false">
      <c r="A397" s="0" t="s">
        <v>451</v>
      </c>
      <c r="B397" s="0" t="s">
        <v>49</v>
      </c>
      <c r="C397" s="0" t="s">
        <v>64</v>
      </c>
      <c r="D397" s="0" t="n">
        <v>55</v>
      </c>
      <c r="E397" s="0" t="n">
        <v>1006445.31</v>
      </c>
    </row>
    <row r="398" customFormat="false" ht="15" hidden="false" customHeight="false" outlineLevel="0" collapsed="false">
      <c r="A398" s="0" t="s">
        <v>452</v>
      </c>
      <c r="B398" s="0" t="s">
        <v>36</v>
      </c>
      <c r="C398" s="0" t="s">
        <v>64</v>
      </c>
      <c r="D398" s="0" t="n">
        <v>47</v>
      </c>
      <c r="E398" s="0" t="n">
        <v>849390.35</v>
      </c>
    </row>
    <row r="399" customFormat="false" ht="15" hidden="false" customHeight="false" outlineLevel="0" collapsed="false">
      <c r="A399" s="0" t="s">
        <v>453</v>
      </c>
      <c r="B399" s="0" t="s">
        <v>36</v>
      </c>
      <c r="C399" s="0" t="s">
        <v>37</v>
      </c>
      <c r="D399" s="0" t="n">
        <v>83</v>
      </c>
      <c r="E399" s="0" t="n">
        <v>391587.4</v>
      </c>
    </row>
    <row r="400" customFormat="false" ht="15" hidden="false" customHeight="false" outlineLevel="0" collapsed="false">
      <c r="A400" s="0" t="s">
        <v>454</v>
      </c>
      <c r="B400" s="0" t="s">
        <v>40</v>
      </c>
      <c r="C400" s="0" t="s">
        <v>53</v>
      </c>
      <c r="D400" s="0" t="n">
        <v>28</v>
      </c>
      <c r="E400" s="0" t="n">
        <v>1213549.84</v>
      </c>
    </row>
    <row r="401" customFormat="false" ht="15" hidden="false" customHeight="false" outlineLevel="0" collapsed="false">
      <c r="A401" s="0" t="s">
        <v>455</v>
      </c>
      <c r="B401" s="0" t="s">
        <v>40</v>
      </c>
      <c r="C401" s="0" t="s">
        <v>53</v>
      </c>
      <c r="D401" s="0" t="n">
        <v>83</v>
      </c>
      <c r="E401" s="0" t="n">
        <v>933649.23</v>
      </c>
    </row>
    <row r="402" customFormat="false" ht="15" hidden="false" customHeight="false" outlineLevel="0" collapsed="false">
      <c r="A402" s="0" t="s">
        <v>456</v>
      </c>
      <c r="B402" s="0" t="s">
        <v>36</v>
      </c>
      <c r="C402" s="0" t="s">
        <v>44</v>
      </c>
      <c r="D402" s="0" t="n">
        <v>73</v>
      </c>
      <c r="E402" s="0" t="n">
        <v>623763.84</v>
      </c>
    </row>
    <row r="403" customFormat="false" ht="15" hidden="false" customHeight="false" outlineLevel="0" collapsed="false">
      <c r="A403" s="0" t="s">
        <v>457</v>
      </c>
      <c r="B403" s="0" t="s">
        <v>49</v>
      </c>
      <c r="C403" s="0" t="s">
        <v>81</v>
      </c>
      <c r="D403" s="0" t="n">
        <v>74</v>
      </c>
      <c r="E403" s="0" t="n">
        <v>984192.1</v>
      </c>
    </row>
    <row r="404" customFormat="false" ht="15" hidden="false" customHeight="false" outlineLevel="0" collapsed="false">
      <c r="A404" s="0" t="s">
        <v>458</v>
      </c>
      <c r="B404" s="0" t="s">
        <v>66</v>
      </c>
      <c r="C404" s="0" t="s">
        <v>44</v>
      </c>
      <c r="D404" s="0" t="n">
        <v>82</v>
      </c>
      <c r="E404" s="0" t="n">
        <v>2607062.46</v>
      </c>
    </row>
    <row r="405" customFormat="false" ht="15" hidden="false" customHeight="false" outlineLevel="0" collapsed="false">
      <c r="A405" s="0" t="s">
        <v>459</v>
      </c>
      <c r="B405" s="0" t="s">
        <v>40</v>
      </c>
      <c r="C405" s="0" t="s">
        <v>76</v>
      </c>
      <c r="D405" s="0" t="n">
        <v>50</v>
      </c>
      <c r="E405" s="0" t="n">
        <v>1152697.48</v>
      </c>
    </row>
    <row r="406" customFormat="false" ht="15" hidden="false" customHeight="false" outlineLevel="0" collapsed="false">
      <c r="A406" s="0" t="s">
        <v>460</v>
      </c>
      <c r="B406" s="0" t="s">
        <v>40</v>
      </c>
      <c r="C406" s="0" t="s">
        <v>53</v>
      </c>
      <c r="D406" s="0" t="n">
        <v>66</v>
      </c>
      <c r="E406" s="0" t="n">
        <v>1533629.02</v>
      </c>
    </row>
    <row r="407" customFormat="false" ht="15" hidden="false" customHeight="false" outlineLevel="0" collapsed="false">
      <c r="A407" s="0" t="s">
        <v>461</v>
      </c>
      <c r="B407" s="0" t="s">
        <v>49</v>
      </c>
      <c r="C407" s="0" t="s">
        <v>53</v>
      </c>
      <c r="D407" s="0" t="n">
        <v>28</v>
      </c>
      <c r="E407" s="0" t="n">
        <v>863775.34</v>
      </c>
    </row>
    <row r="408" customFormat="false" ht="15" hidden="false" customHeight="false" outlineLevel="0" collapsed="false">
      <c r="A408" s="0" t="s">
        <v>462</v>
      </c>
      <c r="B408" s="0" t="s">
        <v>66</v>
      </c>
      <c r="C408" s="0" t="s">
        <v>53</v>
      </c>
      <c r="D408" s="0" t="n">
        <v>65</v>
      </c>
      <c r="E408" s="0" t="n">
        <v>1616948.82</v>
      </c>
    </row>
    <row r="409" customFormat="false" ht="15" hidden="false" customHeight="false" outlineLevel="0" collapsed="false">
      <c r="A409" s="0" t="s">
        <v>463</v>
      </c>
      <c r="B409" s="0" t="s">
        <v>36</v>
      </c>
      <c r="C409" s="0" t="s">
        <v>53</v>
      </c>
      <c r="D409" s="0" t="n">
        <v>16</v>
      </c>
      <c r="E409" s="0" t="n">
        <v>719404.67</v>
      </c>
    </row>
    <row r="410" customFormat="false" ht="15" hidden="false" customHeight="false" outlineLevel="0" collapsed="false">
      <c r="A410" s="0" t="s">
        <v>464</v>
      </c>
      <c r="B410" s="0" t="s">
        <v>40</v>
      </c>
      <c r="C410" s="0" t="s">
        <v>41</v>
      </c>
      <c r="D410" s="0" t="n">
        <v>81</v>
      </c>
      <c r="E410" s="0" t="n">
        <v>1505442.19</v>
      </c>
    </row>
    <row r="411" customFormat="false" ht="15" hidden="false" customHeight="false" outlineLevel="0" collapsed="false">
      <c r="A411" s="0" t="s">
        <v>465</v>
      </c>
      <c r="B411" s="0" t="s">
        <v>36</v>
      </c>
      <c r="C411" s="0" t="s">
        <v>64</v>
      </c>
      <c r="D411" s="0" t="n">
        <v>9</v>
      </c>
      <c r="E411" s="0" t="n">
        <v>604444.05</v>
      </c>
    </row>
    <row r="412" customFormat="false" ht="15" hidden="false" customHeight="false" outlineLevel="0" collapsed="false">
      <c r="A412" s="0" t="s">
        <v>466</v>
      </c>
      <c r="B412" s="0" t="s">
        <v>36</v>
      </c>
      <c r="C412" s="0" t="s">
        <v>50</v>
      </c>
      <c r="D412" s="0" t="n">
        <v>9</v>
      </c>
      <c r="E412" s="0" t="n">
        <v>550015.65</v>
      </c>
    </row>
    <row r="413" customFormat="false" ht="15" hidden="false" customHeight="false" outlineLevel="0" collapsed="false">
      <c r="A413" s="0" t="s">
        <v>467</v>
      </c>
      <c r="B413" s="0" t="s">
        <v>49</v>
      </c>
      <c r="C413" s="0" t="s">
        <v>44</v>
      </c>
      <c r="D413" s="0" t="n">
        <v>68</v>
      </c>
      <c r="E413" s="0" t="n">
        <v>553585.04</v>
      </c>
    </row>
    <row r="414" customFormat="false" ht="15" hidden="false" customHeight="false" outlineLevel="0" collapsed="false">
      <c r="A414" s="0" t="s">
        <v>468</v>
      </c>
      <c r="B414" s="0" t="s">
        <v>36</v>
      </c>
      <c r="C414" s="0" t="s">
        <v>64</v>
      </c>
      <c r="D414" s="0" t="n">
        <v>24</v>
      </c>
      <c r="E414" s="0" t="n">
        <v>376077.87</v>
      </c>
    </row>
    <row r="415" customFormat="false" ht="15" hidden="false" customHeight="false" outlineLevel="0" collapsed="false">
      <c r="A415" s="0" t="s">
        <v>469</v>
      </c>
      <c r="B415" s="0" t="s">
        <v>40</v>
      </c>
      <c r="C415" s="0" t="s">
        <v>76</v>
      </c>
      <c r="D415" s="0" t="n">
        <v>47</v>
      </c>
      <c r="E415" s="0" t="n">
        <v>1364193.94</v>
      </c>
    </row>
    <row r="416" customFormat="false" ht="15" hidden="false" customHeight="false" outlineLevel="0" collapsed="false">
      <c r="A416" s="0" t="s">
        <v>470</v>
      </c>
      <c r="B416" s="0" t="s">
        <v>49</v>
      </c>
      <c r="C416" s="0" t="s">
        <v>37</v>
      </c>
      <c r="D416" s="0" t="n">
        <v>36</v>
      </c>
      <c r="E416" s="0" t="n">
        <v>700762.89</v>
      </c>
    </row>
    <row r="417" customFormat="false" ht="15" hidden="false" customHeight="false" outlineLevel="0" collapsed="false">
      <c r="A417" s="0" t="s">
        <v>471</v>
      </c>
      <c r="B417" s="0" t="s">
        <v>36</v>
      </c>
      <c r="C417" s="0" t="s">
        <v>76</v>
      </c>
      <c r="D417" s="0" t="n">
        <v>61</v>
      </c>
      <c r="E417" s="0" t="n">
        <v>620205.69</v>
      </c>
    </row>
    <row r="418" customFormat="false" ht="15" hidden="false" customHeight="false" outlineLevel="0" collapsed="false">
      <c r="A418" s="0" t="s">
        <v>472</v>
      </c>
      <c r="B418" s="0" t="s">
        <v>49</v>
      </c>
      <c r="C418" s="0" t="s">
        <v>44</v>
      </c>
      <c r="D418" s="0" t="n">
        <v>79</v>
      </c>
      <c r="E418" s="0" t="n">
        <v>819154.39</v>
      </c>
    </row>
    <row r="419" customFormat="false" ht="15" hidden="false" customHeight="false" outlineLevel="0" collapsed="false">
      <c r="A419" s="0" t="s">
        <v>473</v>
      </c>
      <c r="B419" s="0" t="s">
        <v>49</v>
      </c>
      <c r="C419" s="0" t="s">
        <v>81</v>
      </c>
      <c r="D419" s="0" t="n">
        <v>49</v>
      </c>
      <c r="E419" s="0" t="n">
        <v>496060.43</v>
      </c>
    </row>
    <row r="420" customFormat="false" ht="15" hidden="false" customHeight="false" outlineLevel="0" collapsed="false">
      <c r="A420" s="0" t="s">
        <v>474</v>
      </c>
      <c r="B420" s="0" t="s">
        <v>36</v>
      </c>
      <c r="C420" s="0" t="s">
        <v>41</v>
      </c>
      <c r="D420" s="0" t="n">
        <v>72</v>
      </c>
      <c r="E420" s="0" t="n">
        <v>628092.76</v>
      </c>
    </row>
    <row r="421" customFormat="false" ht="15" hidden="false" customHeight="false" outlineLevel="0" collapsed="false">
      <c r="A421" s="0" t="s">
        <v>475</v>
      </c>
      <c r="B421" s="0" t="s">
        <v>36</v>
      </c>
      <c r="C421" s="0" t="s">
        <v>81</v>
      </c>
      <c r="D421" s="0" t="n">
        <v>8</v>
      </c>
      <c r="E421" s="0" t="n">
        <v>649141.9</v>
      </c>
    </row>
    <row r="422" customFormat="false" ht="15" hidden="false" customHeight="false" outlineLevel="0" collapsed="false">
      <c r="A422" s="0" t="s">
        <v>476</v>
      </c>
      <c r="B422" s="0" t="s">
        <v>36</v>
      </c>
      <c r="C422" s="0" t="s">
        <v>44</v>
      </c>
      <c r="D422" s="0" t="n">
        <v>32</v>
      </c>
      <c r="E422" s="0" t="n">
        <v>628976.95</v>
      </c>
    </row>
    <row r="423" customFormat="false" ht="15" hidden="false" customHeight="false" outlineLevel="0" collapsed="false">
      <c r="A423" s="0" t="s">
        <v>477</v>
      </c>
      <c r="B423" s="0" t="s">
        <v>36</v>
      </c>
      <c r="C423" s="0" t="s">
        <v>44</v>
      </c>
      <c r="D423" s="0" t="n">
        <v>85</v>
      </c>
      <c r="E423" s="0" t="n">
        <v>479661.48</v>
      </c>
    </row>
    <row r="424" customFormat="false" ht="15" hidden="false" customHeight="false" outlineLevel="0" collapsed="false">
      <c r="A424" s="0" t="s">
        <v>478</v>
      </c>
      <c r="B424" s="0" t="s">
        <v>40</v>
      </c>
      <c r="C424" s="0" t="s">
        <v>64</v>
      </c>
      <c r="D424" s="0" t="n">
        <v>11</v>
      </c>
      <c r="E424" s="0" t="n">
        <v>1460982.86</v>
      </c>
    </row>
    <row r="425" customFormat="false" ht="15" hidden="false" customHeight="false" outlineLevel="0" collapsed="false">
      <c r="A425" s="0" t="s">
        <v>479</v>
      </c>
      <c r="B425" s="0" t="s">
        <v>49</v>
      </c>
      <c r="C425" s="0" t="s">
        <v>64</v>
      </c>
      <c r="D425" s="0" t="n">
        <v>64</v>
      </c>
      <c r="E425" s="0" t="n">
        <v>1107871.79</v>
      </c>
    </row>
    <row r="426" customFormat="false" ht="15" hidden="false" customHeight="false" outlineLevel="0" collapsed="false">
      <c r="A426" s="0" t="s">
        <v>480</v>
      </c>
      <c r="B426" s="0" t="s">
        <v>40</v>
      </c>
      <c r="C426" s="0" t="s">
        <v>37</v>
      </c>
      <c r="D426" s="0" t="n">
        <v>30</v>
      </c>
      <c r="E426" s="0" t="n">
        <v>1496879.03</v>
      </c>
    </row>
    <row r="427" customFormat="false" ht="15" hidden="false" customHeight="false" outlineLevel="0" collapsed="false">
      <c r="A427" s="0" t="s">
        <v>481</v>
      </c>
      <c r="B427" s="0" t="s">
        <v>40</v>
      </c>
      <c r="C427" s="0" t="s">
        <v>41</v>
      </c>
      <c r="D427" s="0" t="n">
        <v>49</v>
      </c>
      <c r="E427" s="0" t="n">
        <v>1518183.85</v>
      </c>
    </row>
    <row r="428" customFormat="false" ht="15" hidden="false" customHeight="false" outlineLevel="0" collapsed="false">
      <c r="A428" s="0" t="s">
        <v>482</v>
      </c>
      <c r="B428" s="0" t="s">
        <v>49</v>
      </c>
      <c r="C428" s="0" t="s">
        <v>44</v>
      </c>
      <c r="D428" s="0" t="n">
        <v>37</v>
      </c>
      <c r="E428" s="0" t="n">
        <v>1072395.17</v>
      </c>
    </row>
    <row r="429" customFormat="false" ht="15" hidden="false" customHeight="false" outlineLevel="0" collapsed="false">
      <c r="A429" s="0" t="s">
        <v>483</v>
      </c>
      <c r="B429" s="0" t="s">
        <v>40</v>
      </c>
      <c r="C429" s="0" t="s">
        <v>64</v>
      </c>
      <c r="D429" s="0" t="n">
        <v>64</v>
      </c>
      <c r="E429" s="0" t="n">
        <v>881544.81</v>
      </c>
    </row>
    <row r="430" customFormat="false" ht="15" hidden="false" customHeight="false" outlineLevel="0" collapsed="false">
      <c r="A430" s="0" t="s">
        <v>484</v>
      </c>
      <c r="B430" s="0" t="s">
        <v>40</v>
      </c>
      <c r="C430" s="0" t="s">
        <v>44</v>
      </c>
      <c r="D430" s="0" t="n">
        <v>59</v>
      </c>
      <c r="E430" s="0" t="n">
        <v>1257636.19</v>
      </c>
    </row>
    <row r="431" customFormat="false" ht="15" hidden="false" customHeight="false" outlineLevel="0" collapsed="false">
      <c r="A431" s="0" t="s">
        <v>485</v>
      </c>
      <c r="B431" s="0" t="s">
        <v>36</v>
      </c>
      <c r="C431" s="0" t="s">
        <v>41</v>
      </c>
      <c r="D431" s="0" t="n">
        <v>39</v>
      </c>
      <c r="E431" s="0" t="n">
        <v>735316.13</v>
      </c>
    </row>
    <row r="432" customFormat="false" ht="15" hidden="false" customHeight="false" outlineLevel="0" collapsed="false">
      <c r="A432" s="0" t="s">
        <v>486</v>
      </c>
      <c r="B432" s="0" t="s">
        <v>36</v>
      </c>
      <c r="C432" s="0" t="s">
        <v>76</v>
      </c>
      <c r="D432" s="0" t="n">
        <v>37</v>
      </c>
      <c r="E432" s="0" t="n">
        <v>443509.27</v>
      </c>
    </row>
    <row r="433" customFormat="false" ht="15" hidden="false" customHeight="false" outlineLevel="0" collapsed="false">
      <c r="A433" s="0" t="s">
        <v>487</v>
      </c>
      <c r="B433" s="0" t="s">
        <v>36</v>
      </c>
      <c r="C433" s="0" t="s">
        <v>81</v>
      </c>
      <c r="D433" s="0" t="n">
        <v>4</v>
      </c>
      <c r="E433" s="0" t="n">
        <v>721515.27</v>
      </c>
    </row>
    <row r="434" customFormat="false" ht="15" hidden="false" customHeight="false" outlineLevel="0" collapsed="false">
      <c r="A434" s="0" t="s">
        <v>488</v>
      </c>
      <c r="B434" s="0" t="s">
        <v>36</v>
      </c>
      <c r="C434" s="0" t="s">
        <v>81</v>
      </c>
      <c r="D434" s="0" t="n">
        <v>52</v>
      </c>
      <c r="E434" s="0" t="n">
        <v>659759.09</v>
      </c>
    </row>
    <row r="435" customFormat="false" ht="15" hidden="false" customHeight="false" outlineLevel="0" collapsed="false">
      <c r="A435" s="0" t="s">
        <v>489</v>
      </c>
      <c r="B435" s="0" t="s">
        <v>36</v>
      </c>
      <c r="C435" s="0" t="s">
        <v>64</v>
      </c>
      <c r="D435" s="0" t="n">
        <v>32</v>
      </c>
      <c r="E435" s="0" t="n">
        <v>423125.55</v>
      </c>
    </row>
    <row r="436" customFormat="false" ht="15" hidden="false" customHeight="false" outlineLevel="0" collapsed="false">
      <c r="A436" s="0" t="s">
        <v>490</v>
      </c>
      <c r="B436" s="0" t="s">
        <v>40</v>
      </c>
      <c r="C436" s="0" t="s">
        <v>81</v>
      </c>
      <c r="D436" s="0" t="n">
        <v>14</v>
      </c>
      <c r="E436" s="0" t="n">
        <v>1380509.29</v>
      </c>
    </row>
    <row r="437" customFormat="false" ht="15" hidden="false" customHeight="false" outlineLevel="0" collapsed="false">
      <c r="A437" s="0" t="s">
        <v>491</v>
      </c>
      <c r="B437" s="0" t="s">
        <v>40</v>
      </c>
      <c r="C437" s="0" t="s">
        <v>50</v>
      </c>
      <c r="D437" s="0" t="n">
        <v>51</v>
      </c>
      <c r="E437" s="0" t="n">
        <v>1238410.38</v>
      </c>
    </row>
    <row r="438" customFormat="false" ht="15" hidden="false" customHeight="false" outlineLevel="0" collapsed="false">
      <c r="A438" s="0" t="s">
        <v>492</v>
      </c>
      <c r="B438" s="0" t="s">
        <v>36</v>
      </c>
      <c r="C438" s="0" t="s">
        <v>53</v>
      </c>
      <c r="D438" s="0" t="n">
        <v>63</v>
      </c>
      <c r="E438" s="0" t="n">
        <v>371716.12</v>
      </c>
    </row>
    <row r="439" customFormat="false" ht="15" hidden="false" customHeight="false" outlineLevel="0" collapsed="false">
      <c r="A439" s="0" t="s">
        <v>493</v>
      </c>
      <c r="B439" s="0" t="s">
        <v>40</v>
      </c>
      <c r="C439" s="0" t="s">
        <v>53</v>
      </c>
      <c r="D439" s="0" t="n">
        <v>45</v>
      </c>
      <c r="E439" s="0" t="n">
        <v>1625713.83</v>
      </c>
    </row>
    <row r="440" customFormat="false" ht="15" hidden="false" customHeight="false" outlineLevel="0" collapsed="false">
      <c r="A440" s="0" t="s">
        <v>494</v>
      </c>
      <c r="B440" s="0" t="s">
        <v>36</v>
      </c>
      <c r="C440" s="0" t="s">
        <v>53</v>
      </c>
      <c r="D440" s="0" t="n">
        <v>25</v>
      </c>
      <c r="E440" s="0" t="n">
        <v>751588.39</v>
      </c>
    </row>
    <row r="441" customFormat="false" ht="15" hidden="false" customHeight="false" outlineLevel="0" collapsed="false">
      <c r="A441" s="0" t="s">
        <v>495</v>
      </c>
      <c r="B441" s="0" t="s">
        <v>49</v>
      </c>
      <c r="C441" s="0" t="s">
        <v>64</v>
      </c>
      <c r="D441" s="0" t="n">
        <v>10</v>
      </c>
      <c r="E441" s="0" t="n">
        <v>891356.14</v>
      </c>
    </row>
    <row r="442" customFormat="false" ht="15" hidden="false" customHeight="false" outlineLevel="0" collapsed="false">
      <c r="A442" s="0" t="s">
        <v>496</v>
      </c>
      <c r="B442" s="0" t="s">
        <v>36</v>
      </c>
      <c r="C442" s="0" t="s">
        <v>44</v>
      </c>
      <c r="D442" s="0" t="n">
        <v>60</v>
      </c>
      <c r="E442" s="0" t="n">
        <v>449446.02</v>
      </c>
    </row>
    <row r="443" customFormat="false" ht="15" hidden="false" customHeight="false" outlineLevel="0" collapsed="false">
      <c r="A443" s="0" t="s">
        <v>497</v>
      </c>
      <c r="B443" s="0" t="s">
        <v>49</v>
      </c>
      <c r="C443" s="0" t="s">
        <v>53</v>
      </c>
      <c r="D443" s="0" t="n">
        <v>65</v>
      </c>
      <c r="E443" s="0" t="n">
        <v>875539.81</v>
      </c>
    </row>
    <row r="444" customFormat="false" ht="15" hidden="false" customHeight="false" outlineLevel="0" collapsed="false">
      <c r="A444" s="0" t="s">
        <v>498</v>
      </c>
      <c r="B444" s="0" t="s">
        <v>36</v>
      </c>
      <c r="C444" s="0" t="s">
        <v>76</v>
      </c>
      <c r="D444" s="0" t="n">
        <v>46</v>
      </c>
      <c r="E444" s="0" t="n">
        <v>382637.44</v>
      </c>
    </row>
    <row r="445" customFormat="false" ht="15" hidden="false" customHeight="false" outlineLevel="0" collapsed="false">
      <c r="A445" s="0" t="s">
        <v>499</v>
      </c>
      <c r="B445" s="0" t="s">
        <v>49</v>
      </c>
      <c r="C445" s="0" t="s">
        <v>53</v>
      </c>
      <c r="D445" s="0" t="n">
        <v>92</v>
      </c>
      <c r="E445" s="0" t="n">
        <v>1298351.02</v>
      </c>
    </row>
    <row r="446" customFormat="false" ht="15" hidden="false" customHeight="false" outlineLevel="0" collapsed="false">
      <c r="A446" s="0" t="s">
        <v>500</v>
      </c>
      <c r="B446" s="0" t="s">
        <v>36</v>
      </c>
      <c r="C446" s="0" t="s">
        <v>81</v>
      </c>
      <c r="D446" s="0" t="n">
        <v>10</v>
      </c>
      <c r="E446" s="0" t="n">
        <v>577633.74</v>
      </c>
    </row>
    <row r="447" customFormat="false" ht="15" hidden="false" customHeight="false" outlineLevel="0" collapsed="false">
      <c r="A447" s="0" t="s">
        <v>501</v>
      </c>
      <c r="B447" s="0" t="s">
        <v>40</v>
      </c>
      <c r="C447" s="0" t="s">
        <v>64</v>
      </c>
      <c r="D447" s="0" t="n">
        <v>18</v>
      </c>
      <c r="E447" s="0" t="n">
        <v>1051127.6</v>
      </c>
    </row>
    <row r="448" customFormat="false" ht="15" hidden="false" customHeight="false" outlineLevel="0" collapsed="false">
      <c r="A448" s="0" t="s">
        <v>502</v>
      </c>
      <c r="B448" s="0" t="s">
        <v>36</v>
      </c>
      <c r="C448" s="0" t="s">
        <v>53</v>
      </c>
      <c r="D448" s="0" t="n">
        <v>94</v>
      </c>
      <c r="E448" s="0" t="n">
        <v>662298.66</v>
      </c>
    </row>
    <row r="449" customFormat="false" ht="15" hidden="false" customHeight="false" outlineLevel="0" collapsed="false">
      <c r="A449" s="0" t="s">
        <v>503</v>
      </c>
      <c r="B449" s="0" t="s">
        <v>40</v>
      </c>
      <c r="C449" s="0" t="s">
        <v>44</v>
      </c>
      <c r="D449" s="0" t="n">
        <v>27</v>
      </c>
      <c r="E449" s="0" t="n">
        <v>1356847.67</v>
      </c>
    </row>
    <row r="450" customFormat="false" ht="15" hidden="false" customHeight="false" outlineLevel="0" collapsed="false">
      <c r="A450" s="0" t="s">
        <v>504</v>
      </c>
      <c r="B450" s="0" t="s">
        <v>49</v>
      </c>
      <c r="C450" s="0" t="s">
        <v>53</v>
      </c>
      <c r="D450" s="0" t="n">
        <v>94</v>
      </c>
      <c r="E450" s="0" t="n">
        <v>1089644.25</v>
      </c>
    </row>
    <row r="451" customFormat="false" ht="15" hidden="false" customHeight="false" outlineLevel="0" collapsed="false">
      <c r="A451" s="0" t="s">
        <v>505</v>
      </c>
      <c r="B451" s="0" t="s">
        <v>40</v>
      </c>
      <c r="C451" s="0" t="s">
        <v>76</v>
      </c>
      <c r="D451" s="0" t="n">
        <v>93</v>
      </c>
      <c r="E451" s="0" t="n">
        <v>1014973.38</v>
      </c>
    </row>
    <row r="452" customFormat="false" ht="15" hidden="false" customHeight="false" outlineLevel="0" collapsed="false">
      <c r="A452" s="0" t="s">
        <v>506</v>
      </c>
      <c r="B452" s="0" t="s">
        <v>36</v>
      </c>
      <c r="C452" s="0" t="s">
        <v>64</v>
      </c>
      <c r="D452" s="0" t="n">
        <v>26</v>
      </c>
      <c r="E452" s="0" t="n">
        <v>704141.49</v>
      </c>
    </row>
    <row r="453" customFormat="false" ht="15" hidden="false" customHeight="false" outlineLevel="0" collapsed="false">
      <c r="A453" s="0" t="s">
        <v>507</v>
      </c>
      <c r="B453" s="0" t="s">
        <v>49</v>
      </c>
      <c r="C453" s="0" t="s">
        <v>53</v>
      </c>
      <c r="D453" s="0" t="n">
        <v>4</v>
      </c>
      <c r="E453" s="0" t="n">
        <v>866276.4</v>
      </c>
    </row>
    <row r="454" customFormat="false" ht="15" hidden="false" customHeight="false" outlineLevel="0" collapsed="false">
      <c r="A454" s="0" t="s">
        <v>508</v>
      </c>
      <c r="B454" s="0" t="s">
        <v>36</v>
      </c>
      <c r="C454" s="0" t="s">
        <v>76</v>
      </c>
      <c r="D454" s="0" t="n">
        <v>61</v>
      </c>
      <c r="E454" s="0" t="n">
        <v>614165.76</v>
      </c>
    </row>
    <row r="455" customFormat="false" ht="15" hidden="false" customHeight="false" outlineLevel="0" collapsed="false">
      <c r="A455" s="0" t="s">
        <v>509</v>
      </c>
      <c r="B455" s="0" t="s">
        <v>36</v>
      </c>
      <c r="C455" s="0" t="s">
        <v>89</v>
      </c>
      <c r="D455" s="0" t="n">
        <v>5</v>
      </c>
      <c r="E455" s="0" t="n">
        <v>512139.39</v>
      </c>
    </row>
    <row r="456" customFormat="false" ht="15" hidden="false" customHeight="false" outlineLevel="0" collapsed="false">
      <c r="A456" s="0" t="s">
        <v>510</v>
      </c>
      <c r="B456" s="0" t="s">
        <v>49</v>
      </c>
      <c r="C456" s="0" t="s">
        <v>53</v>
      </c>
      <c r="D456" s="0" t="n">
        <v>39</v>
      </c>
      <c r="E456" s="0" t="n">
        <v>674095.48</v>
      </c>
    </row>
    <row r="457" customFormat="false" ht="15" hidden="false" customHeight="false" outlineLevel="0" collapsed="false">
      <c r="A457" s="0" t="s">
        <v>511</v>
      </c>
      <c r="B457" s="0" t="s">
        <v>66</v>
      </c>
      <c r="C457" s="0" t="s">
        <v>53</v>
      </c>
      <c r="D457" s="0" t="n">
        <v>73</v>
      </c>
      <c r="E457" s="0" t="n">
        <v>3942653.57</v>
      </c>
    </row>
    <row r="458" customFormat="false" ht="15" hidden="false" customHeight="false" outlineLevel="0" collapsed="false">
      <c r="A458" s="0" t="s">
        <v>512</v>
      </c>
      <c r="B458" s="0" t="s">
        <v>66</v>
      </c>
      <c r="C458" s="0" t="s">
        <v>81</v>
      </c>
      <c r="D458" s="0" t="n">
        <v>76</v>
      </c>
      <c r="E458" s="0" t="n">
        <v>3123785.87</v>
      </c>
    </row>
    <row r="459" customFormat="false" ht="15" hidden="false" customHeight="false" outlineLevel="0" collapsed="false">
      <c r="A459" s="0" t="s">
        <v>513</v>
      </c>
      <c r="B459" s="0" t="s">
        <v>49</v>
      </c>
      <c r="C459" s="0" t="s">
        <v>64</v>
      </c>
      <c r="D459" s="0" t="n">
        <v>88</v>
      </c>
      <c r="E459" s="0" t="n">
        <v>374793.1</v>
      </c>
    </row>
    <row r="460" customFormat="false" ht="15" hidden="false" customHeight="false" outlineLevel="0" collapsed="false">
      <c r="A460" s="0" t="s">
        <v>514</v>
      </c>
      <c r="B460" s="0" t="s">
        <v>49</v>
      </c>
      <c r="C460" s="0" t="s">
        <v>44</v>
      </c>
      <c r="D460" s="0" t="n">
        <v>6</v>
      </c>
      <c r="E460" s="0" t="n">
        <v>523632.83</v>
      </c>
    </row>
    <row r="461" customFormat="false" ht="15" hidden="false" customHeight="false" outlineLevel="0" collapsed="false">
      <c r="A461" s="0" t="s">
        <v>515</v>
      </c>
      <c r="B461" s="0" t="s">
        <v>40</v>
      </c>
      <c r="C461" s="0" t="s">
        <v>44</v>
      </c>
      <c r="D461" s="0" t="n">
        <v>56</v>
      </c>
      <c r="E461" s="0" t="n">
        <v>671672.19</v>
      </c>
    </row>
    <row r="462" customFormat="false" ht="15" hidden="false" customHeight="false" outlineLevel="0" collapsed="false">
      <c r="A462" s="0" t="s">
        <v>516</v>
      </c>
      <c r="B462" s="0" t="s">
        <v>40</v>
      </c>
      <c r="C462" s="0" t="s">
        <v>44</v>
      </c>
      <c r="D462" s="0" t="n">
        <v>86</v>
      </c>
      <c r="E462" s="0" t="n">
        <v>1569588.27</v>
      </c>
    </row>
    <row r="463" customFormat="false" ht="15" hidden="false" customHeight="false" outlineLevel="0" collapsed="false">
      <c r="A463" s="0" t="s">
        <v>517</v>
      </c>
      <c r="B463" s="0" t="s">
        <v>40</v>
      </c>
      <c r="C463" s="0" t="s">
        <v>64</v>
      </c>
      <c r="D463" s="0" t="n">
        <v>22</v>
      </c>
      <c r="E463" s="0" t="n">
        <v>1671891.42</v>
      </c>
    </row>
    <row r="464" customFormat="false" ht="15" hidden="false" customHeight="false" outlineLevel="0" collapsed="false">
      <c r="A464" s="0" t="s">
        <v>518</v>
      </c>
      <c r="B464" s="0" t="s">
        <v>36</v>
      </c>
      <c r="C464" s="0" t="s">
        <v>44</v>
      </c>
      <c r="D464" s="0" t="n">
        <v>22</v>
      </c>
      <c r="E464" s="0" t="n">
        <v>472202.07</v>
      </c>
    </row>
    <row r="465" customFormat="false" ht="15" hidden="false" customHeight="false" outlineLevel="0" collapsed="false">
      <c r="A465" s="0" t="s">
        <v>519</v>
      </c>
      <c r="B465" s="0" t="s">
        <v>36</v>
      </c>
      <c r="C465" s="0" t="s">
        <v>37</v>
      </c>
      <c r="D465" s="0" t="n">
        <v>80</v>
      </c>
      <c r="E465" s="0" t="n">
        <v>773043.67</v>
      </c>
    </row>
    <row r="466" customFormat="false" ht="15" hidden="false" customHeight="false" outlineLevel="0" collapsed="false">
      <c r="A466" s="0" t="s">
        <v>520</v>
      </c>
      <c r="B466" s="0" t="s">
        <v>49</v>
      </c>
      <c r="C466" s="0" t="s">
        <v>50</v>
      </c>
      <c r="D466" s="0" t="n">
        <v>17</v>
      </c>
      <c r="E466" s="0" t="n">
        <v>767872.69</v>
      </c>
    </row>
    <row r="467" customFormat="false" ht="15" hidden="false" customHeight="false" outlineLevel="0" collapsed="false">
      <c r="A467" s="0" t="s">
        <v>521</v>
      </c>
      <c r="B467" s="0" t="s">
        <v>49</v>
      </c>
      <c r="C467" s="0" t="s">
        <v>44</v>
      </c>
      <c r="D467" s="0" t="n">
        <v>8</v>
      </c>
      <c r="E467" s="0" t="n">
        <v>973939.36</v>
      </c>
    </row>
    <row r="468" customFormat="false" ht="15" hidden="false" customHeight="false" outlineLevel="0" collapsed="false">
      <c r="A468" s="0" t="s">
        <v>522</v>
      </c>
      <c r="B468" s="0" t="s">
        <v>36</v>
      </c>
      <c r="C468" s="0" t="s">
        <v>44</v>
      </c>
      <c r="D468" s="0" t="n">
        <v>24</v>
      </c>
      <c r="E468" s="0" t="n">
        <v>748152.24</v>
      </c>
    </row>
    <row r="469" customFormat="false" ht="15" hidden="false" customHeight="false" outlineLevel="0" collapsed="false">
      <c r="A469" s="0" t="s">
        <v>523</v>
      </c>
      <c r="B469" s="0" t="s">
        <v>49</v>
      </c>
      <c r="C469" s="0" t="s">
        <v>37</v>
      </c>
      <c r="D469" s="0" t="n">
        <v>81</v>
      </c>
      <c r="E469" s="0" t="n">
        <v>919092.15</v>
      </c>
    </row>
    <row r="470" customFormat="false" ht="15" hidden="false" customHeight="false" outlineLevel="0" collapsed="false">
      <c r="A470" s="0" t="s">
        <v>524</v>
      </c>
      <c r="B470" s="0" t="s">
        <v>36</v>
      </c>
      <c r="C470" s="0" t="s">
        <v>44</v>
      </c>
      <c r="D470" s="0" t="n">
        <v>78</v>
      </c>
      <c r="E470" s="0" t="n">
        <v>750857.21</v>
      </c>
    </row>
    <row r="471" customFormat="false" ht="15" hidden="false" customHeight="false" outlineLevel="0" collapsed="false">
      <c r="A471" s="0" t="s">
        <v>525</v>
      </c>
      <c r="B471" s="0" t="s">
        <v>36</v>
      </c>
      <c r="C471" s="0" t="s">
        <v>76</v>
      </c>
      <c r="D471" s="0" t="n">
        <v>64</v>
      </c>
      <c r="E471" s="0" t="n">
        <v>780114.82</v>
      </c>
    </row>
    <row r="472" customFormat="false" ht="15" hidden="false" customHeight="false" outlineLevel="0" collapsed="false">
      <c r="A472" s="0" t="s">
        <v>526</v>
      </c>
      <c r="B472" s="0" t="s">
        <v>49</v>
      </c>
      <c r="C472" s="0" t="s">
        <v>68</v>
      </c>
      <c r="D472" s="0" t="n">
        <v>75</v>
      </c>
      <c r="E472" s="0" t="n">
        <v>975323.5</v>
      </c>
    </row>
    <row r="473" customFormat="false" ht="15" hidden="false" customHeight="false" outlineLevel="0" collapsed="false">
      <c r="A473" s="0" t="s">
        <v>527</v>
      </c>
      <c r="B473" s="0" t="s">
        <v>66</v>
      </c>
      <c r="C473" s="0" t="s">
        <v>53</v>
      </c>
      <c r="D473" s="0" t="n">
        <v>69</v>
      </c>
      <c r="E473" s="0" t="n">
        <v>3938874.08</v>
      </c>
    </row>
    <row r="474" customFormat="false" ht="15" hidden="false" customHeight="false" outlineLevel="0" collapsed="false">
      <c r="A474" s="0" t="s">
        <v>528</v>
      </c>
      <c r="B474" s="0" t="s">
        <v>36</v>
      </c>
      <c r="C474" s="0" t="s">
        <v>81</v>
      </c>
      <c r="D474" s="0" t="n">
        <v>37</v>
      </c>
      <c r="E474" s="0" t="n">
        <v>425552.93</v>
      </c>
    </row>
    <row r="475" customFormat="false" ht="15" hidden="false" customHeight="false" outlineLevel="0" collapsed="false">
      <c r="A475" s="0" t="s">
        <v>529</v>
      </c>
      <c r="B475" s="0" t="s">
        <v>40</v>
      </c>
      <c r="C475" s="0" t="s">
        <v>68</v>
      </c>
      <c r="D475" s="0" t="n">
        <v>67</v>
      </c>
      <c r="E475" s="0" t="n">
        <v>1390050.04</v>
      </c>
    </row>
    <row r="476" customFormat="false" ht="15" hidden="false" customHeight="false" outlineLevel="0" collapsed="false">
      <c r="A476" s="0" t="s">
        <v>530</v>
      </c>
      <c r="B476" s="0" t="s">
        <v>40</v>
      </c>
      <c r="C476" s="0" t="s">
        <v>44</v>
      </c>
      <c r="D476" s="0" t="n">
        <v>21</v>
      </c>
      <c r="E476" s="0" t="n">
        <v>1541291.65</v>
      </c>
    </row>
    <row r="477" customFormat="false" ht="15" hidden="false" customHeight="false" outlineLevel="0" collapsed="false">
      <c r="A477" s="0" t="s">
        <v>531</v>
      </c>
      <c r="B477" s="0" t="s">
        <v>36</v>
      </c>
      <c r="C477" s="0" t="s">
        <v>37</v>
      </c>
      <c r="D477" s="0" t="n">
        <v>55</v>
      </c>
      <c r="E477" s="0" t="n">
        <v>542691.71</v>
      </c>
    </row>
    <row r="478" customFormat="false" ht="15" hidden="false" customHeight="false" outlineLevel="0" collapsed="false">
      <c r="A478" s="0" t="s">
        <v>532</v>
      </c>
      <c r="B478" s="0" t="s">
        <v>49</v>
      </c>
      <c r="C478" s="0" t="s">
        <v>64</v>
      </c>
      <c r="D478" s="0" t="n">
        <v>76</v>
      </c>
      <c r="E478" s="0" t="n">
        <v>818499.79</v>
      </c>
    </row>
    <row r="479" customFormat="false" ht="15" hidden="false" customHeight="false" outlineLevel="0" collapsed="false">
      <c r="A479" s="0" t="s">
        <v>533</v>
      </c>
      <c r="B479" s="0" t="s">
        <v>36</v>
      </c>
      <c r="C479" s="0" t="s">
        <v>53</v>
      </c>
      <c r="D479" s="0" t="n">
        <v>24</v>
      </c>
      <c r="E479" s="0" t="n">
        <v>553274.35</v>
      </c>
    </row>
    <row r="480" customFormat="false" ht="15" hidden="false" customHeight="false" outlineLevel="0" collapsed="false">
      <c r="A480" s="0" t="s">
        <v>534</v>
      </c>
      <c r="B480" s="0" t="s">
        <v>40</v>
      </c>
      <c r="C480" s="0" t="s">
        <v>81</v>
      </c>
      <c r="D480" s="0" t="n">
        <v>7</v>
      </c>
      <c r="E480" s="0" t="n">
        <v>1456536.83</v>
      </c>
    </row>
    <row r="481" customFormat="false" ht="15" hidden="false" customHeight="false" outlineLevel="0" collapsed="false">
      <c r="A481" s="0" t="s">
        <v>535</v>
      </c>
      <c r="B481" s="0" t="s">
        <v>49</v>
      </c>
      <c r="C481" s="0" t="s">
        <v>89</v>
      </c>
      <c r="D481" s="0" t="n">
        <v>39</v>
      </c>
      <c r="E481" s="0" t="n">
        <v>539368.56</v>
      </c>
    </row>
    <row r="482" customFormat="false" ht="15" hidden="false" customHeight="false" outlineLevel="0" collapsed="false">
      <c r="A482" s="0" t="s">
        <v>536</v>
      </c>
      <c r="B482" s="0" t="s">
        <v>40</v>
      </c>
      <c r="C482" s="0" t="s">
        <v>53</v>
      </c>
      <c r="D482" s="0" t="n">
        <v>29</v>
      </c>
      <c r="E482" s="0" t="n">
        <v>1433680.82</v>
      </c>
    </row>
    <row r="483" customFormat="false" ht="15" hidden="false" customHeight="false" outlineLevel="0" collapsed="false">
      <c r="A483" s="0" t="s">
        <v>537</v>
      </c>
      <c r="B483" s="0" t="s">
        <v>49</v>
      </c>
      <c r="C483" s="0" t="s">
        <v>50</v>
      </c>
      <c r="D483" s="0" t="n">
        <v>80</v>
      </c>
      <c r="E483" s="0" t="n">
        <v>712660.13</v>
      </c>
    </row>
    <row r="484" customFormat="false" ht="15" hidden="false" customHeight="false" outlineLevel="0" collapsed="false">
      <c r="A484" s="0" t="s">
        <v>538</v>
      </c>
      <c r="B484" s="0" t="s">
        <v>36</v>
      </c>
      <c r="C484" s="0" t="s">
        <v>68</v>
      </c>
      <c r="D484" s="0" t="n">
        <v>54</v>
      </c>
      <c r="E484" s="0" t="n">
        <v>549510.19</v>
      </c>
    </row>
    <row r="485" customFormat="false" ht="15" hidden="false" customHeight="false" outlineLevel="0" collapsed="false">
      <c r="A485" s="0" t="s">
        <v>539</v>
      </c>
      <c r="B485" s="0" t="s">
        <v>36</v>
      </c>
      <c r="C485" s="0" t="s">
        <v>64</v>
      </c>
      <c r="D485" s="0" t="n">
        <v>40</v>
      </c>
      <c r="E485" s="0" t="n">
        <v>723139.78</v>
      </c>
    </row>
    <row r="486" customFormat="false" ht="15" hidden="false" customHeight="false" outlineLevel="0" collapsed="false">
      <c r="A486" s="0" t="s">
        <v>540</v>
      </c>
      <c r="B486" s="0" t="s">
        <v>40</v>
      </c>
      <c r="C486" s="0" t="s">
        <v>44</v>
      </c>
      <c r="D486" s="0" t="n">
        <v>66</v>
      </c>
      <c r="E486" s="0" t="n">
        <v>1754812.91</v>
      </c>
    </row>
    <row r="487" customFormat="false" ht="15" hidden="false" customHeight="false" outlineLevel="0" collapsed="false">
      <c r="A487" s="0" t="s">
        <v>541</v>
      </c>
      <c r="B487" s="0" t="s">
        <v>36</v>
      </c>
      <c r="C487" s="0" t="s">
        <v>64</v>
      </c>
      <c r="D487" s="0" t="n">
        <v>61</v>
      </c>
      <c r="E487" s="0" t="n">
        <v>293596.69</v>
      </c>
    </row>
    <row r="488" customFormat="false" ht="15" hidden="false" customHeight="false" outlineLevel="0" collapsed="false">
      <c r="A488" s="0" t="s">
        <v>542</v>
      </c>
      <c r="B488" s="0" t="s">
        <v>36</v>
      </c>
      <c r="C488" s="0" t="s">
        <v>50</v>
      </c>
      <c r="D488" s="0" t="n">
        <v>28</v>
      </c>
      <c r="E488" s="0" t="n">
        <v>660589.49</v>
      </c>
    </row>
    <row r="489" customFormat="false" ht="15" hidden="false" customHeight="false" outlineLevel="0" collapsed="false">
      <c r="A489" s="0" t="s">
        <v>543</v>
      </c>
      <c r="B489" s="0" t="s">
        <v>36</v>
      </c>
      <c r="C489" s="0" t="s">
        <v>37</v>
      </c>
      <c r="D489" s="0" t="n">
        <v>93</v>
      </c>
      <c r="E489" s="0" t="n">
        <v>681148.43</v>
      </c>
    </row>
    <row r="490" customFormat="false" ht="15" hidden="false" customHeight="false" outlineLevel="0" collapsed="false">
      <c r="A490" s="0" t="s">
        <v>544</v>
      </c>
      <c r="B490" s="0" t="s">
        <v>36</v>
      </c>
      <c r="C490" s="0" t="s">
        <v>68</v>
      </c>
      <c r="D490" s="0" t="n">
        <v>42</v>
      </c>
      <c r="E490" s="0" t="n">
        <v>720464.9</v>
      </c>
    </row>
    <row r="491" customFormat="false" ht="15" hidden="false" customHeight="false" outlineLevel="0" collapsed="false">
      <c r="A491" s="0" t="s">
        <v>545</v>
      </c>
      <c r="B491" s="0" t="s">
        <v>36</v>
      </c>
      <c r="C491" s="0" t="s">
        <v>44</v>
      </c>
      <c r="D491" s="0" t="n">
        <v>29</v>
      </c>
      <c r="E491" s="0" t="n">
        <v>342636.33</v>
      </c>
    </row>
    <row r="492" customFormat="false" ht="15" hidden="false" customHeight="false" outlineLevel="0" collapsed="false">
      <c r="A492" s="0" t="s">
        <v>546</v>
      </c>
      <c r="B492" s="0" t="s">
        <v>66</v>
      </c>
      <c r="C492" s="0" t="s">
        <v>41</v>
      </c>
      <c r="D492" s="0" t="n">
        <v>10</v>
      </c>
      <c r="E492" s="0" t="n">
        <v>3401907.59</v>
      </c>
    </row>
    <row r="493" customFormat="false" ht="15" hidden="false" customHeight="false" outlineLevel="0" collapsed="false">
      <c r="A493" s="0" t="s">
        <v>547</v>
      </c>
      <c r="B493" s="0" t="s">
        <v>36</v>
      </c>
      <c r="C493" s="0" t="s">
        <v>53</v>
      </c>
      <c r="D493" s="0" t="n">
        <v>27</v>
      </c>
      <c r="E493" s="0" t="n">
        <v>416859.29</v>
      </c>
    </row>
    <row r="494" customFormat="false" ht="15" hidden="false" customHeight="false" outlineLevel="0" collapsed="false">
      <c r="A494" s="0" t="s">
        <v>548</v>
      </c>
      <c r="B494" s="0" t="s">
        <v>66</v>
      </c>
      <c r="C494" s="0" t="s">
        <v>44</v>
      </c>
      <c r="D494" s="0" t="n">
        <v>68</v>
      </c>
      <c r="E494" s="0" t="n">
        <v>1535352.6</v>
      </c>
    </row>
    <row r="495" customFormat="false" ht="15" hidden="false" customHeight="false" outlineLevel="0" collapsed="false">
      <c r="A495" s="0" t="s">
        <v>549</v>
      </c>
      <c r="B495" s="0" t="s">
        <v>36</v>
      </c>
      <c r="C495" s="0" t="s">
        <v>44</v>
      </c>
      <c r="D495" s="0" t="n">
        <v>57</v>
      </c>
      <c r="E495" s="0" t="n">
        <v>551558.8</v>
      </c>
    </row>
    <row r="496" customFormat="false" ht="15" hidden="false" customHeight="false" outlineLevel="0" collapsed="false">
      <c r="A496" s="0" t="s">
        <v>550</v>
      </c>
      <c r="B496" s="0" t="s">
        <v>49</v>
      </c>
      <c r="C496" s="0" t="s">
        <v>64</v>
      </c>
      <c r="D496" s="0" t="n">
        <v>57</v>
      </c>
      <c r="E496" s="0" t="n">
        <v>748807.8</v>
      </c>
    </row>
    <row r="497" customFormat="false" ht="15" hidden="false" customHeight="false" outlineLevel="0" collapsed="false">
      <c r="A497" s="0" t="s">
        <v>551</v>
      </c>
      <c r="B497" s="0" t="s">
        <v>49</v>
      </c>
      <c r="C497" s="0" t="s">
        <v>37</v>
      </c>
      <c r="D497" s="0" t="n">
        <v>65</v>
      </c>
      <c r="E497" s="0" t="n">
        <v>967513.52</v>
      </c>
    </row>
    <row r="498" customFormat="false" ht="15" hidden="false" customHeight="false" outlineLevel="0" collapsed="false">
      <c r="A498" s="0" t="s">
        <v>552</v>
      </c>
      <c r="B498" s="0" t="s">
        <v>36</v>
      </c>
      <c r="C498" s="0" t="s">
        <v>53</v>
      </c>
      <c r="D498" s="0" t="n">
        <v>11</v>
      </c>
      <c r="E498" s="0" t="n">
        <v>538790.87</v>
      </c>
    </row>
    <row r="499" customFormat="false" ht="15" hidden="false" customHeight="false" outlineLevel="0" collapsed="false">
      <c r="A499" s="0" t="s">
        <v>553</v>
      </c>
      <c r="B499" s="0" t="s">
        <v>40</v>
      </c>
      <c r="C499" s="0" t="s">
        <v>64</v>
      </c>
      <c r="D499" s="0" t="n">
        <v>3</v>
      </c>
      <c r="E499" s="0" t="n">
        <v>1548034.32</v>
      </c>
    </row>
    <row r="500" customFormat="false" ht="15" hidden="false" customHeight="false" outlineLevel="0" collapsed="false">
      <c r="A500" s="0" t="s">
        <v>554</v>
      </c>
      <c r="B500" s="0" t="s">
        <v>49</v>
      </c>
      <c r="C500" s="0" t="s">
        <v>41</v>
      </c>
      <c r="D500" s="0" t="n">
        <v>69</v>
      </c>
      <c r="E500" s="0" t="n">
        <v>943173.38</v>
      </c>
    </row>
    <row r="501" customFormat="false" ht="15" hidden="false" customHeight="false" outlineLevel="0" collapsed="false">
      <c r="A501" s="0" t="s">
        <v>555</v>
      </c>
      <c r="B501" s="0" t="s">
        <v>36</v>
      </c>
      <c r="C501" s="0" t="s">
        <v>89</v>
      </c>
      <c r="D501" s="0" t="n">
        <v>26</v>
      </c>
      <c r="E501" s="0" t="n">
        <v>693531.74</v>
      </c>
    </row>
    <row r="502" customFormat="false" ht="15" hidden="false" customHeight="false" outlineLevel="0" collapsed="false">
      <c r="A502" s="0" t="s">
        <v>556</v>
      </c>
      <c r="B502" s="0" t="s">
        <v>49</v>
      </c>
      <c r="C502" s="0" t="s">
        <v>68</v>
      </c>
      <c r="D502" s="0" t="n">
        <v>65</v>
      </c>
      <c r="E502" s="0" t="n">
        <v>925176.7</v>
      </c>
    </row>
    <row r="503" customFormat="false" ht="15" hidden="false" customHeight="false" outlineLevel="0" collapsed="false">
      <c r="A503" s="0" t="s">
        <v>557</v>
      </c>
      <c r="B503" s="0" t="s">
        <v>66</v>
      </c>
      <c r="C503" s="0" t="s">
        <v>89</v>
      </c>
      <c r="D503" s="0" t="n">
        <v>60</v>
      </c>
      <c r="E503" s="0" t="n">
        <v>4116411.81</v>
      </c>
    </row>
    <row r="504" customFormat="false" ht="15" hidden="false" customHeight="false" outlineLevel="0" collapsed="false">
      <c r="A504" s="0" t="s">
        <v>558</v>
      </c>
      <c r="B504" s="0" t="s">
        <v>49</v>
      </c>
      <c r="C504" s="0" t="s">
        <v>81</v>
      </c>
      <c r="D504" s="0" t="n">
        <v>37</v>
      </c>
      <c r="E504" s="0" t="n">
        <v>931221.9</v>
      </c>
    </row>
    <row r="505" customFormat="false" ht="15" hidden="false" customHeight="false" outlineLevel="0" collapsed="false">
      <c r="A505" s="0" t="s">
        <v>559</v>
      </c>
      <c r="B505" s="0" t="s">
        <v>49</v>
      </c>
      <c r="C505" s="0" t="s">
        <v>81</v>
      </c>
      <c r="D505" s="0" t="n">
        <v>64</v>
      </c>
      <c r="E505" s="0" t="n">
        <v>633430.01</v>
      </c>
    </row>
    <row r="506" customFormat="false" ht="15" hidden="false" customHeight="false" outlineLevel="0" collapsed="false">
      <c r="A506" s="0" t="s">
        <v>560</v>
      </c>
      <c r="B506" s="0" t="s">
        <v>49</v>
      </c>
      <c r="C506" s="0" t="s">
        <v>41</v>
      </c>
      <c r="D506" s="0" t="n">
        <v>68</v>
      </c>
      <c r="E506" s="0" t="n">
        <v>1041272.42</v>
      </c>
    </row>
    <row r="507" customFormat="false" ht="15" hidden="false" customHeight="false" outlineLevel="0" collapsed="false">
      <c r="A507" s="0" t="s">
        <v>561</v>
      </c>
      <c r="B507" s="0" t="s">
        <v>36</v>
      </c>
      <c r="C507" s="0" t="s">
        <v>41</v>
      </c>
      <c r="D507" s="0" t="n">
        <v>5</v>
      </c>
      <c r="E507" s="0" t="n">
        <v>455970.75</v>
      </c>
    </row>
    <row r="508" customFormat="false" ht="15" hidden="false" customHeight="false" outlineLevel="0" collapsed="false">
      <c r="A508" s="0" t="s">
        <v>562</v>
      </c>
      <c r="B508" s="0" t="s">
        <v>49</v>
      </c>
      <c r="C508" s="0" t="s">
        <v>53</v>
      </c>
      <c r="D508" s="0" t="n">
        <v>89</v>
      </c>
      <c r="E508" s="0" t="n">
        <v>724828.06</v>
      </c>
    </row>
    <row r="509" customFormat="false" ht="15" hidden="false" customHeight="false" outlineLevel="0" collapsed="false">
      <c r="A509" s="0" t="s">
        <v>563</v>
      </c>
      <c r="B509" s="0" t="s">
        <v>40</v>
      </c>
      <c r="C509" s="0" t="s">
        <v>64</v>
      </c>
      <c r="D509" s="0" t="n">
        <v>17</v>
      </c>
      <c r="E509" s="0" t="n">
        <v>1289224.22</v>
      </c>
    </row>
    <row r="510" customFormat="false" ht="15" hidden="false" customHeight="false" outlineLevel="0" collapsed="false">
      <c r="A510" s="0" t="s">
        <v>564</v>
      </c>
      <c r="B510" s="0" t="s">
        <v>36</v>
      </c>
      <c r="C510" s="0" t="s">
        <v>41</v>
      </c>
      <c r="D510" s="0" t="n">
        <v>78</v>
      </c>
      <c r="E510" s="0" t="n">
        <v>509114.04</v>
      </c>
    </row>
    <row r="511" customFormat="false" ht="15" hidden="false" customHeight="false" outlineLevel="0" collapsed="false">
      <c r="A511" s="0" t="s">
        <v>565</v>
      </c>
      <c r="B511" s="0" t="s">
        <v>36</v>
      </c>
      <c r="C511" s="0" t="s">
        <v>44</v>
      </c>
      <c r="D511" s="0" t="n">
        <v>52</v>
      </c>
      <c r="E511" s="0" t="n">
        <v>540702.56</v>
      </c>
    </row>
    <row r="512" customFormat="false" ht="15" hidden="false" customHeight="false" outlineLevel="0" collapsed="false">
      <c r="A512" s="0" t="s">
        <v>566</v>
      </c>
      <c r="B512" s="0" t="s">
        <v>36</v>
      </c>
      <c r="C512" s="0" t="s">
        <v>89</v>
      </c>
      <c r="D512" s="0" t="n">
        <v>31</v>
      </c>
      <c r="E512" s="0" t="n">
        <v>558780.14</v>
      </c>
    </row>
    <row r="513" customFormat="false" ht="15" hidden="false" customHeight="false" outlineLevel="0" collapsed="false">
      <c r="A513" s="0" t="s">
        <v>567</v>
      </c>
      <c r="B513" s="0" t="s">
        <v>66</v>
      </c>
      <c r="C513" s="0" t="s">
        <v>44</v>
      </c>
      <c r="D513" s="0" t="n">
        <v>84</v>
      </c>
      <c r="E513" s="0" t="n">
        <v>1605187.02</v>
      </c>
    </row>
    <row r="514" customFormat="false" ht="15" hidden="false" customHeight="false" outlineLevel="0" collapsed="false">
      <c r="A514" s="0" t="s">
        <v>568</v>
      </c>
      <c r="B514" s="0" t="s">
        <v>36</v>
      </c>
      <c r="C514" s="0" t="s">
        <v>81</v>
      </c>
      <c r="D514" s="0" t="n">
        <v>21</v>
      </c>
      <c r="E514" s="0" t="n">
        <v>337225.58</v>
      </c>
    </row>
    <row r="515" customFormat="false" ht="15" hidden="false" customHeight="false" outlineLevel="0" collapsed="false">
      <c r="A515" s="0" t="s">
        <v>569</v>
      </c>
      <c r="B515" s="0" t="s">
        <v>49</v>
      </c>
      <c r="C515" s="0" t="s">
        <v>89</v>
      </c>
      <c r="D515" s="0" t="n">
        <v>59</v>
      </c>
      <c r="E515" s="0" t="n">
        <v>1213609.86</v>
      </c>
    </row>
    <row r="516" customFormat="false" ht="15" hidden="false" customHeight="false" outlineLevel="0" collapsed="false">
      <c r="A516" s="0" t="s">
        <v>570</v>
      </c>
      <c r="B516" s="0" t="s">
        <v>49</v>
      </c>
      <c r="C516" s="0" t="s">
        <v>53</v>
      </c>
      <c r="D516" s="0" t="n">
        <v>24</v>
      </c>
      <c r="E516" s="0" t="n">
        <v>724176.41</v>
      </c>
    </row>
    <row r="517" customFormat="false" ht="15" hidden="false" customHeight="false" outlineLevel="0" collapsed="false">
      <c r="A517" s="0" t="s">
        <v>571</v>
      </c>
      <c r="B517" s="0" t="s">
        <v>36</v>
      </c>
      <c r="C517" s="0" t="s">
        <v>53</v>
      </c>
      <c r="D517" s="0" t="n">
        <v>18</v>
      </c>
      <c r="E517" s="0" t="n">
        <v>674955.33</v>
      </c>
    </row>
    <row r="518" customFormat="false" ht="15" hidden="false" customHeight="false" outlineLevel="0" collapsed="false">
      <c r="A518" s="0" t="s">
        <v>572</v>
      </c>
      <c r="B518" s="0" t="s">
        <v>36</v>
      </c>
      <c r="C518" s="0" t="s">
        <v>53</v>
      </c>
      <c r="D518" s="0" t="n">
        <v>25</v>
      </c>
      <c r="E518" s="0" t="n">
        <v>542969.5</v>
      </c>
    </row>
    <row r="519" customFormat="false" ht="15" hidden="false" customHeight="false" outlineLevel="0" collapsed="false">
      <c r="A519" s="0" t="s">
        <v>573</v>
      </c>
      <c r="B519" s="0" t="s">
        <v>36</v>
      </c>
      <c r="C519" s="0" t="s">
        <v>44</v>
      </c>
      <c r="D519" s="0" t="n">
        <v>8</v>
      </c>
      <c r="E519" s="0" t="n">
        <v>562467.45</v>
      </c>
    </row>
    <row r="520" customFormat="false" ht="15" hidden="false" customHeight="false" outlineLevel="0" collapsed="false">
      <c r="A520" s="0" t="s">
        <v>574</v>
      </c>
      <c r="B520" s="0" t="s">
        <v>36</v>
      </c>
      <c r="C520" s="0" t="s">
        <v>44</v>
      </c>
      <c r="D520" s="0" t="n">
        <v>60</v>
      </c>
      <c r="E520" s="0" t="n">
        <v>407860.18</v>
      </c>
    </row>
    <row r="521" customFormat="false" ht="15" hidden="false" customHeight="false" outlineLevel="0" collapsed="false">
      <c r="A521" s="0" t="s">
        <v>575</v>
      </c>
      <c r="B521" s="0" t="s">
        <v>36</v>
      </c>
      <c r="C521" s="0" t="s">
        <v>64</v>
      </c>
      <c r="D521" s="0" t="n">
        <v>18</v>
      </c>
      <c r="E521" s="0" t="n">
        <v>419571.71</v>
      </c>
    </row>
    <row r="522" customFormat="false" ht="15" hidden="false" customHeight="false" outlineLevel="0" collapsed="false">
      <c r="A522" s="0" t="s">
        <v>576</v>
      </c>
      <c r="B522" s="0" t="s">
        <v>36</v>
      </c>
      <c r="C522" s="0" t="s">
        <v>89</v>
      </c>
      <c r="D522" s="0" t="n">
        <v>52</v>
      </c>
      <c r="E522" s="0" t="n">
        <v>412570.57</v>
      </c>
    </row>
    <row r="523" customFormat="false" ht="15" hidden="false" customHeight="false" outlineLevel="0" collapsed="false">
      <c r="A523" s="0" t="s">
        <v>577</v>
      </c>
      <c r="B523" s="0" t="s">
        <v>49</v>
      </c>
      <c r="C523" s="0" t="s">
        <v>53</v>
      </c>
      <c r="D523" s="0" t="n">
        <v>22</v>
      </c>
      <c r="E523" s="0" t="n">
        <v>1015803.84</v>
      </c>
    </row>
    <row r="524" customFormat="false" ht="15" hidden="false" customHeight="false" outlineLevel="0" collapsed="false">
      <c r="A524" s="0" t="s">
        <v>578</v>
      </c>
      <c r="B524" s="0" t="s">
        <v>40</v>
      </c>
      <c r="C524" s="0" t="s">
        <v>44</v>
      </c>
      <c r="D524" s="0" t="n">
        <v>41</v>
      </c>
      <c r="E524" s="0" t="n">
        <v>1483579.18</v>
      </c>
    </row>
    <row r="525" customFormat="false" ht="15" hidden="false" customHeight="false" outlineLevel="0" collapsed="false">
      <c r="A525" s="0" t="s">
        <v>579</v>
      </c>
      <c r="B525" s="0" t="s">
        <v>40</v>
      </c>
      <c r="C525" s="0" t="s">
        <v>53</v>
      </c>
      <c r="D525" s="0" t="n">
        <v>67</v>
      </c>
      <c r="E525" s="0" t="n">
        <v>1893755.16</v>
      </c>
    </row>
    <row r="526" customFormat="false" ht="15" hidden="false" customHeight="false" outlineLevel="0" collapsed="false">
      <c r="A526" s="0" t="s">
        <v>580</v>
      </c>
      <c r="B526" s="0" t="s">
        <v>36</v>
      </c>
      <c r="C526" s="0" t="s">
        <v>68</v>
      </c>
      <c r="D526" s="0" t="n">
        <v>80</v>
      </c>
      <c r="E526" s="0" t="n">
        <v>682005.98</v>
      </c>
    </row>
    <row r="527" customFormat="false" ht="15" hidden="false" customHeight="false" outlineLevel="0" collapsed="false">
      <c r="A527" s="0" t="s">
        <v>581</v>
      </c>
      <c r="B527" s="0" t="s">
        <v>40</v>
      </c>
      <c r="C527" s="0" t="s">
        <v>64</v>
      </c>
      <c r="D527" s="0" t="n">
        <v>20</v>
      </c>
      <c r="E527" s="0" t="n">
        <v>1281684.09</v>
      </c>
    </row>
    <row r="528" customFormat="false" ht="15" hidden="false" customHeight="false" outlineLevel="0" collapsed="false">
      <c r="A528" s="0" t="s">
        <v>582</v>
      </c>
      <c r="B528" s="0" t="s">
        <v>40</v>
      </c>
      <c r="C528" s="0" t="s">
        <v>64</v>
      </c>
      <c r="D528" s="0" t="n">
        <v>39</v>
      </c>
      <c r="E528" s="0" t="n">
        <v>1788359.66</v>
      </c>
    </row>
    <row r="529" customFormat="false" ht="15" hidden="false" customHeight="false" outlineLevel="0" collapsed="false">
      <c r="A529" s="0" t="s">
        <v>583</v>
      </c>
      <c r="B529" s="0" t="s">
        <v>40</v>
      </c>
      <c r="C529" s="0" t="s">
        <v>44</v>
      </c>
      <c r="D529" s="0" t="n">
        <v>53</v>
      </c>
      <c r="E529" s="0" t="n">
        <v>1570139.17</v>
      </c>
    </row>
    <row r="530" customFormat="false" ht="15" hidden="false" customHeight="false" outlineLevel="0" collapsed="false">
      <c r="A530" s="0" t="s">
        <v>584</v>
      </c>
      <c r="B530" s="0" t="s">
        <v>36</v>
      </c>
      <c r="C530" s="0" t="s">
        <v>41</v>
      </c>
      <c r="D530" s="0" t="n">
        <v>37</v>
      </c>
      <c r="E530" s="0" t="n">
        <v>604765.7</v>
      </c>
    </row>
    <row r="531" customFormat="false" ht="15" hidden="false" customHeight="false" outlineLevel="0" collapsed="false">
      <c r="A531" s="0" t="s">
        <v>585</v>
      </c>
      <c r="B531" s="0" t="s">
        <v>36</v>
      </c>
      <c r="C531" s="0" t="s">
        <v>37</v>
      </c>
      <c r="D531" s="0" t="n">
        <v>35</v>
      </c>
      <c r="E531" s="0" t="n">
        <v>741723.1</v>
      </c>
    </row>
    <row r="532" customFormat="false" ht="15" hidden="false" customHeight="false" outlineLevel="0" collapsed="false">
      <c r="A532" s="0" t="s">
        <v>586</v>
      </c>
      <c r="B532" s="0" t="s">
        <v>36</v>
      </c>
      <c r="C532" s="0" t="s">
        <v>64</v>
      </c>
      <c r="D532" s="0" t="n">
        <v>70</v>
      </c>
      <c r="E532" s="0" t="n">
        <v>661819.11</v>
      </c>
    </row>
    <row r="533" customFormat="false" ht="15" hidden="false" customHeight="false" outlineLevel="0" collapsed="false">
      <c r="A533" s="0" t="s">
        <v>587</v>
      </c>
      <c r="B533" s="0" t="s">
        <v>49</v>
      </c>
      <c r="C533" s="0" t="s">
        <v>53</v>
      </c>
      <c r="D533" s="0" t="n">
        <v>3</v>
      </c>
      <c r="E533" s="0" t="n">
        <v>885638.38</v>
      </c>
    </row>
    <row r="534" customFormat="false" ht="15" hidden="false" customHeight="false" outlineLevel="0" collapsed="false">
      <c r="A534" s="0" t="s">
        <v>588</v>
      </c>
      <c r="B534" s="0" t="s">
        <v>40</v>
      </c>
      <c r="C534" s="0" t="s">
        <v>81</v>
      </c>
      <c r="D534" s="0" t="n">
        <v>74</v>
      </c>
      <c r="E534" s="0" t="n">
        <v>1552540.42</v>
      </c>
    </row>
    <row r="535" customFormat="false" ht="15" hidden="false" customHeight="false" outlineLevel="0" collapsed="false">
      <c r="A535" s="0" t="s">
        <v>589</v>
      </c>
      <c r="B535" s="0" t="s">
        <v>40</v>
      </c>
      <c r="C535" s="0" t="s">
        <v>50</v>
      </c>
      <c r="D535" s="0" t="n">
        <v>65</v>
      </c>
      <c r="E535" s="0" t="n">
        <v>960480.91</v>
      </c>
    </row>
    <row r="536" customFormat="false" ht="15" hidden="false" customHeight="false" outlineLevel="0" collapsed="false">
      <c r="A536" s="0" t="s">
        <v>590</v>
      </c>
      <c r="B536" s="0" t="s">
        <v>49</v>
      </c>
      <c r="C536" s="0" t="s">
        <v>53</v>
      </c>
      <c r="D536" s="0" t="n">
        <v>85</v>
      </c>
      <c r="E536" s="0" t="n">
        <v>964254.48</v>
      </c>
    </row>
    <row r="537" customFormat="false" ht="15" hidden="false" customHeight="false" outlineLevel="0" collapsed="false">
      <c r="A537" s="0" t="s">
        <v>591</v>
      </c>
      <c r="B537" s="0" t="s">
        <v>40</v>
      </c>
      <c r="C537" s="0" t="s">
        <v>50</v>
      </c>
      <c r="D537" s="0" t="n">
        <v>56</v>
      </c>
      <c r="E537" s="0" t="n">
        <v>962527.08</v>
      </c>
    </row>
    <row r="538" customFormat="false" ht="15" hidden="false" customHeight="false" outlineLevel="0" collapsed="false">
      <c r="A538" s="0" t="s">
        <v>592</v>
      </c>
      <c r="B538" s="0" t="s">
        <v>36</v>
      </c>
      <c r="C538" s="0" t="s">
        <v>64</v>
      </c>
      <c r="D538" s="0" t="n">
        <v>28</v>
      </c>
      <c r="E538" s="0" t="n">
        <v>492345.24</v>
      </c>
    </row>
    <row r="539" customFormat="false" ht="15" hidden="false" customHeight="false" outlineLevel="0" collapsed="false">
      <c r="A539" s="0" t="s">
        <v>593</v>
      </c>
      <c r="B539" s="0" t="s">
        <v>36</v>
      </c>
      <c r="C539" s="0" t="s">
        <v>44</v>
      </c>
      <c r="D539" s="0" t="n">
        <v>50</v>
      </c>
      <c r="E539" s="0" t="n">
        <v>627942.38</v>
      </c>
    </row>
    <row r="540" customFormat="false" ht="15" hidden="false" customHeight="false" outlineLevel="0" collapsed="false">
      <c r="A540" s="0" t="s">
        <v>594</v>
      </c>
      <c r="B540" s="0" t="s">
        <v>36</v>
      </c>
      <c r="C540" s="0" t="s">
        <v>68</v>
      </c>
      <c r="D540" s="0" t="n">
        <v>79</v>
      </c>
      <c r="E540" s="0" t="n">
        <v>385830.63</v>
      </c>
    </row>
    <row r="541" customFormat="false" ht="15" hidden="false" customHeight="false" outlineLevel="0" collapsed="false">
      <c r="A541" s="0" t="s">
        <v>595</v>
      </c>
      <c r="B541" s="0" t="s">
        <v>40</v>
      </c>
      <c r="C541" s="0" t="s">
        <v>44</v>
      </c>
      <c r="D541" s="0" t="n">
        <v>62</v>
      </c>
      <c r="E541" s="0" t="n">
        <v>1946349.17</v>
      </c>
    </row>
    <row r="542" customFormat="false" ht="15" hidden="false" customHeight="false" outlineLevel="0" collapsed="false">
      <c r="A542" s="0" t="s">
        <v>596</v>
      </c>
      <c r="B542" s="0" t="s">
        <v>36</v>
      </c>
      <c r="C542" s="0" t="s">
        <v>44</v>
      </c>
      <c r="D542" s="0" t="n">
        <v>23</v>
      </c>
      <c r="E542" s="0" t="n">
        <v>316326.22</v>
      </c>
    </row>
    <row r="543" customFormat="false" ht="15" hidden="false" customHeight="false" outlineLevel="0" collapsed="false">
      <c r="A543" s="0" t="s">
        <v>597</v>
      </c>
      <c r="B543" s="0" t="s">
        <v>36</v>
      </c>
      <c r="C543" s="0" t="s">
        <v>41</v>
      </c>
      <c r="D543" s="0" t="n">
        <v>20</v>
      </c>
      <c r="E543" s="0" t="n">
        <v>578704.38</v>
      </c>
    </row>
    <row r="544" customFormat="false" ht="15" hidden="false" customHeight="false" outlineLevel="0" collapsed="false">
      <c r="A544" s="0" t="s">
        <v>598</v>
      </c>
      <c r="B544" s="0" t="s">
        <v>49</v>
      </c>
      <c r="C544" s="0" t="s">
        <v>64</v>
      </c>
      <c r="D544" s="0" t="n">
        <v>5</v>
      </c>
      <c r="E544" s="0" t="n">
        <v>806074.91</v>
      </c>
    </row>
    <row r="545" customFormat="false" ht="15" hidden="false" customHeight="false" outlineLevel="0" collapsed="false">
      <c r="A545" s="0" t="s">
        <v>599</v>
      </c>
      <c r="B545" s="0" t="s">
        <v>36</v>
      </c>
      <c r="C545" s="0" t="s">
        <v>89</v>
      </c>
      <c r="D545" s="0" t="n">
        <v>65</v>
      </c>
      <c r="E545" s="0" t="n">
        <v>470138.86</v>
      </c>
    </row>
    <row r="546" customFormat="false" ht="15" hidden="false" customHeight="false" outlineLevel="0" collapsed="false">
      <c r="A546" s="0" t="s">
        <v>600</v>
      </c>
      <c r="B546" s="0" t="s">
        <v>40</v>
      </c>
      <c r="C546" s="0" t="s">
        <v>76</v>
      </c>
      <c r="D546" s="0" t="n">
        <v>86</v>
      </c>
      <c r="E546" s="0" t="n">
        <v>1181849.03</v>
      </c>
    </row>
    <row r="547" customFormat="false" ht="15" hidden="false" customHeight="false" outlineLevel="0" collapsed="false">
      <c r="A547" s="0" t="s">
        <v>601</v>
      </c>
      <c r="B547" s="0" t="s">
        <v>40</v>
      </c>
      <c r="C547" s="0" t="s">
        <v>89</v>
      </c>
      <c r="D547" s="0" t="n">
        <v>11</v>
      </c>
      <c r="E547" s="0" t="n">
        <v>1333032.34</v>
      </c>
    </row>
    <row r="548" customFormat="false" ht="15" hidden="false" customHeight="false" outlineLevel="0" collapsed="false">
      <c r="A548" s="0" t="s">
        <v>602</v>
      </c>
      <c r="B548" s="0" t="s">
        <v>36</v>
      </c>
      <c r="C548" s="0" t="s">
        <v>68</v>
      </c>
      <c r="D548" s="0" t="n">
        <v>82</v>
      </c>
      <c r="E548" s="0" t="n">
        <v>393394.47</v>
      </c>
    </row>
    <row r="549" customFormat="false" ht="15" hidden="false" customHeight="false" outlineLevel="0" collapsed="false">
      <c r="A549" s="0" t="s">
        <v>603</v>
      </c>
      <c r="B549" s="0" t="s">
        <v>36</v>
      </c>
      <c r="C549" s="0" t="s">
        <v>53</v>
      </c>
      <c r="D549" s="0" t="n">
        <v>55</v>
      </c>
      <c r="E549" s="0" t="n">
        <v>483330.83</v>
      </c>
    </row>
    <row r="550" customFormat="false" ht="15" hidden="false" customHeight="false" outlineLevel="0" collapsed="false">
      <c r="A550" s="0" t="s">
        <v>604</v>
      </c>
      <c r="B550" s="0" t="s">
        <v>49</v>
      </c>
      <c r="C550" s="0" t="s">
        <v>44</v>
      </c>
      <c r="D550" s="0" t="n">
        <v>74</v>
      </c>
      <c r="E550" s="0" t="n">
        <v>690466.05</v>
      </c>
    </row>
    <row r="551" customFormat="false" ht="15" hidden="false" customHeight="false" outlineLevel="0" collapsed="false">
      <c r="A551" s="0" t="s">
        <v>605</v>
      </c>
      <c r="B551" s="0" t="s">
        <v>40</v>
      </c>
      <c r="C551" s="0" t="s">
        <v>53</v>
      </c>
      <c r="D551" s="0" t="n">
        <v>61</v>
      </c>
      <c r="E551" s="0" t="n">
        <v>2220841.6</v>
      </c>
    </row>
    <row r="552" customFormat="false" ht="15" hidden="false" customHeight="false" outlineLevel="0" collapsed="false">
      <c r="A552" s="0" t="s">
        <v>606</v>
      </c>
      <c r="B552" s="0" t="s">
        <v>49</v>
      </c>
      <c r="C552" s="0" t="s">
        <v>41</v>
      </c>
      <c r="D552" s="0" t="n">
        <v>73</v>
      </c>
      <c r="E552" s="0" t="n">
        <v>774426.01</v>
      </c>
    </row>
    <row r="553" customFormat="false" ht="15" hidden="false" customHeight="false" outlineLevel="0" collapsed="false">
      <c r="A553" s="0" t="s">
        <v>607</v>
      </c>
      <c r="B553" s="0" t="s">
        <v>49</v>
      </c>
      <c r="C553" s="0" t="s">
        <v>64</v>
      </c>
      <c r="D553" s="0" t="n">
        <v>89</v>
      </c>
      <c r="E553" s="0" t="n">
        <v>535927.62</v>
      </c>
    </row>
    <row r="554" customFormat="false" ht="15" hidden="false" customHeight="false" outlineLevel="0" collapsed="false">
      <c r="A554" s="0" t="s">
        <v>608</v>
      </c>
      <c r="B554" s="0" t="s">
        <v>49</v>
      </c>
      <c r="C554" s="0" t="s">
        <v>44</v>
      </c>
      <c r="D554" s="0" t="n">
        <v>94</v>
      </c>
      <c r="E554" s="0" t="n">
        <v>700360.43</v>
      </c>
    </row>
    <row r="555" customFormat="false" ht="15" hidden="false" customHeight="false" outlineLevel="0" collapsed="false">
      <c r="A555" s="0" t="s">
        <v>609</v>
      </c>
      <c r="B555" s="0" t="s">
        <v>40</v>
      </c>
      <c r="C555" s="0" t="s">
        <v>68</v>
      </c>
      <c r="D555" s="0" t="n">
        <v>65</v>
      </c>
      <c r="E555" s="0" t="n">
        <v>1003688.16</v>
      </c>
    </row>
    <row r="556" customFormat="false" ht="15" hidden="false" customHeight="false" outlineLevel="0" collapsed="false">
      <c r="A556" s="0" t="s">
        <v>610</v>
      </c>
      <c r="B556" s="0" t="s">
        <v>36</v>
      </c>
      <c r="C556" s="0" t="s">
        <v>37</v>
      </c>
      <c r="D556" s="0" t="n">
        <v>49</v>
      </c>
      <c r="E556" s="0" t="n">
        <v>539146.14</v>
      </c>
    </row>
    <row r="557" customFormat="false" ht="15" hidden="false" customHeight="false" outlineLevel="0" collapsed="false">
      <c r="A557" s="0" t="s">
        <v>611</v>
      </c>
      <c r="B557" s="0" t="s">
        <v>49</v>
      </c>
      <c r="C557" s="0" t="s">
        <v>41</v>
      </c>
      <c r="D557" s="0" t="n">
        <v>58</v>
      </c>
      <c r="E557" s="0" t="n">
        <v>583475.06</v>
      </c>
    </row>
    <row r="558" customFormat="false" ht="15" hidden="false" customHeight="false" outlineLevel="0" collapsed="false">
      <c r="A558" s="0" t="s">
        <v>612</v>
      </c>
      <c r="B558" s="0" t="s">
        <v>49</v>
      </c>
      <c r="C558" s="0" t="s">
        <v>64</v>
      </c>
      <c r="D558" s="0" t="n">
        <v>80</v>
      </c>
      <c r="E558" s="0" t="n">
        <v>494471.31</v>
      </c>
    </row>
    <row r="559" customFormat="false" ht="15" hidden="false" customHeight="false" outlineLevel="0" collapsed="false">
      <c r="A559" s="0" t="s">
        <v>613</v>
      </c>
      <c r="B559" s="0" t="s">
        <v>36</v>
      </c>
      <c r="C559" s="0" t="s">
        <v>50</v>
      </c>
      <c r="D559" s="0" t="n">
        <v>77</v>
      </c>
      <c r="E559" s="0" t="n">
        <v>640034.06</v>
      </c>
    </row>
    <row r="560" customFormat="false" ht="15" hidden="false" customHeight="false" outlineLevel="0" collapsed="false">
      <c r="A560" s="0" t="s">
        <v>614</v>
      </c>
      <c r="B560" s="0" t="s">
        <v>49</v>
      </c>
      <c r="C560" s="0" t="s">
        <v>64</v>
      </c>
      <c r="D560" s="0" t="n">
        <v>17</v>
      </c>
      <c r="E560" s="0" t="n">
        <v>746639.75</v>
      </c>
    </row>
    <row r="561" customFormat="false" ht="15" hidden="false" customHeight="false" outlineLevel="0" collapsed="false">
      <c r="A561" s="0" t="s">
        <v>615</v>
      </c>
      <c r="B561" s="0" t="s">
        <v>36</v>
      </c>
      <c r="C561" s="0" t="s">
        <v>76</v>
      </c>
      <c r="D561" s="0" t="n">
        <v>7</v>
      </c>
      <c r="E561" s="0" t="n">
        <v>444015.11</v>
      </c>
    </row>
    <row r="562" customFormat="false" ht="15" hidden="false" customHeight="false" outlineLevel="0" collapsed="false">
      <c r="A562" s="0" t="s">
        <v>616</v>
      </c>
      <c r="B562" s="0" t="s">
        <v>36</v>
      </c>
      <c r="C562" s="0" t="s">
        <v>53</v>
      </c>
      <c r="D562" s="0" t="n">
        <v>84</v>
      </c>
      <c r="E562" s="0" t="n">
        <v>528987.38</v>
      </c>
    </row>
    <row r="563" customFormat="false" ht="15" hidden="false" customHeight="false" outlineLevel="0" collapsed="false">
      <c r="A563" s="0" t="s">
        <v>617</v>
      </c>
      <c r="B563" s="0" t="s">
        <v>49</v>
      </c>
      <c r="C563" s="0" t="s">
        <v>44</v>
      </c>
      <c r="D563" s="0" t="n">
        <v>71</v>
      </c>
      <c r="E563" s="0" t="n">
        <v>870361.44</v>
      </c>
    </row>
    <row r="564" customFormat="false" ht="15" hidden="false" customHeight="false" outlineLevel="0" collapsed="false">
      <c r="A564" s="0" t="s">
        <v>618</v>
      </c>
      <c r="B564" s="0" t="s">
        <v>40</v>
      </c>
      <c r="C564" s="0" t="s">
        <v>37</v>
      </c>
      <c r="D564" s="0" t="n">
        <v>86</v>
      </c>
      <c r="E564" s="0" t="n">
        <v>808439.15</v>
      </c>
    </row>
    <row r="565" customFormat="false" ht="15" hidden="false" customHeight="false" outlineLevel="0" collapsed="false">
      <c r="A565" s="0" t="s">
        <v>619</v>
      </c>
      <c r="B565" s="0" t="s">
        <v>66</v>
      </c>
      <c r="C565" s="0" t="s">
        <v>64</v>
      </c>
      <c r="D565" s="0" t="n">
        <v>9</v>
      </c>
      <c r="E565" s="0" t="n">
        <v>3988450.67</v>
      </c>
    </row>
    <row r="566" customFormat="false" ht="15" hidden="false" customHeight="false" outlineLevel="0" collapsed="false">
      <c r="A566" s="0" t="s">
        <v>620</v>
      </c>
      <c r="B566" s="0" t="s">
        <v>40</v>
      </c>
      <c r="C566" s="0" t="s">
        <v>89</v>
      </c>
      <c r="D566" s="0" t="n">
        <v>10</v>
      </c>
      <c r="E566" s="0" t="n">
        <v>752916.82</v>
      </c>
    </row>
    <row r="567" customFormat="false" ht="15" hidden="false" customHeight="false" outlineLevel="0" collapsed="false">
      <c r="A567" s="0" t="s">
        <v>621</v>
      </c>
      <c r="B567" s="0" t="s">
        <v>36</v>
      </c>
      <c r="C567" s="0" t="s">
        <v>44</v>
      </c>
      <c r="D567" s="0" t="n">
        <v>12</v>
      </c>
      <c r="E567" s="0" t="n">
        <v>417432.28</v>
      </c>
    </row>
    <row r="568" customFormat="false" ht="15" hidden="false" customHeight="false" outlineLevel="0" collapsed="false">
      <c r="A568" s="0" t="s">
        <v>622</v>
      </c>
      <c r="B568" s="0" t="s">
        <v>36</v>
      </c>
      <c r="C568" s="0" t="s">
        <v>37</v>
      </c>
      <c r="D568" s="0" t="n">
        <v>93</v>
      </c>
      <c r="E568" s="0" t="n">
        <v>509349.23</v>
      </c>
    </row>
    <row r="569" customFormat="false" ht="15" hidden="false" customHeight="false" outlineLevel="0" collapsed="false">
      <c r="A569" s="0" t="s">
        <v>623</v>
      </c>
      <c r="B569" s="0" t="s">
        <v>36</v>
      </c>
      <c r="C569" s="0" t="s">
        <v>50</v>
      </c>
      <c r="D569" s="0" t="n">
        <v>15</v>
      </c>
      <c r="E569" s="0" t="n">
        <v>677711.59</v>
      </c>
    </row>
    <row r="570" customFormat="false" ht="15" hidden="false" customHeight="false" outlineLevel="0" collapsed="false">
      <c r="A570" s="0" t="s">
        <v>624</v>
      </c>
      <c r="B570" s="0" t="s">
        <v>36</v>
      </c>
      <c r="C570" s="0" t="s">
        <v>68</v>
      </c>
      <c r="D570" s="0" t="n">
        <v>22</v>
      </c>
      <c r="E570" s="0" t="n">
        <v>711515.43</v>
      </c>
    </row>
    <row r="571" customFormat="false" ht="15" hidden="false" customHeight="false" outlineLevel="0" collapsed="false">
      <c r="A571" s="0" t="s">
        <v>625</v>
      </c>
      <c r="B571" s="0" t="s">
        <v>36</v>
      </c>
      <c r="C571" s="0" t="s">
        <v>64</v>
      </c>
      <c r="D571" s="0" t="n">
        <v>55</v>
      </c>
      <c r="E571" s="0" t="n">
        <v>345906.67</v>
      </c>
    </row>
    <row r="572" customFormat="false" ht="15" hidden="false" customHeight="false" outlineLevel="0" collapsed="false">
      <c r="A572" s="0" t="s">
        <v>626</v>
      </c>
      <c r="B572" s="0" t="s">
        <v>36</v>
      </c>
      <c r="C572" s="0" t="s">
        <v>41</v>
      </c>
      <c r="D572" s="0" t="n">
        <v>16</v>
      </c>
      <c r="E572" s="0" t="n">
        <v>688626.19</v>
      </c>
    </row>
    <row r="573" customFormat="false" ht="15" hidden="false" customHeight="false" outlineLevel="0" collapsed="false">
      <c r="A573" s="0" t="s">
        <v>627</v>
      </c>
      <c r="B573" s="0" t="s">
        <v>36</v>
      </c>
      <c r="C573" s="0" t="s">
        <v>64</v>
      </c>
      <c r="D573" s="0" t="n">
        <v>79</v>
      </c>
      <c r="E573" s="0" t="n">
        <v>495207.88</v>
      </c>
    </row>
    <row r="574" customFormat="false" ht="15" hidden="false" customHeight="false" outlineLevel="0" collapsed="false">
      <c r="A574" s="0" t="s">
        <v>628</v>
      </c>
      <c r="B574" s="0" t="s">
        <v>36</v>
      </c>
      <c r="C574" s="0" t="s">
        <v>64</v>
      </c>
      <c r="D574" s="0" t="n">
        <v>56</v>
      </c>
      <c r="E574" s="0" t="n">
        <v>657579.66</v>
      </c>
    </row>
    <row r="575" customFormat="false" ht="15" hidden="false" customHeight="false" outlineLevel="0" collapsed="false">
      <c r="A575" s="0" t="s">
        <v>629</v>
      </c>
      <c r="B575" s="0" t="s">
        <v>40</v>
      </c>
      <c r="C575" s="0" t="s">
        <v>89</v>
      </c>
      <c r="D575" s="0" t="n">
        <v>95</v>
      </c>
      <c r="E575" s="0" t="n">
        <v>994612</v>
      </c>
    </row>
    <row r="576" customFormat="false" ht="15" hidden="false" customHeight="false" outlineLevel="0" collapsed="false">
      <c r="A576" s="0" t="s">
        <v>630</v>
      </c>
      <c r="B576" s="0" t="s">
        <v>36</v>
      </c>
      <c r="C576" s="0" t="s">
        <v>44</v>
      </c>
      <c r="D576" s="0" t="n">
        <v>71</v>
      </c>
      <c r="E576" s="0" t="n">
        <v>460885.84</v>
      </c>
    </row>
    <row r="577" customFormat="false" ht="15" hidden="false" customHeight="false" outlineLevel="0" collapsed="false">
      <c r="A577" s="0" t="s">
        <v>631</v>
      </c>
      <c r="B577" s="0" t="s">
        <v>49</v>
      </c>
      <c r="C577" s="0" t="s">
        <v>89</v>
      </c>
      <c r="D577" s="0" t="n">
        <v>33</v>
      </c>
      <c r="E577" s="0" t="n">
        <v>933153.79</v>
      </c>
    </row>
    <row r="578" customFormat="false" ht="15" hidden="false" customHeight="false" outlineLevel="0" collapsed="false">
      <c r="A578" s="0" t="s">
        <v>632</v>
      </c>
      <c r="B578" s="0" t="s">
        <v>40</v>
      </c>
      <c r="C578" s="0" t="s">
        <v>53</v>
      </c>
      <c r="D578" s="0" t="n">
        <v>91</v>
      </c>
      <c r="E578" s="0" t="n">
        <v>1630964.56</v>
      </c>
    </row>
    <row r="579" customFormat="false" ht="15" hidden="false" customHeight="false" outlineLevel="0" collapsed="false">
      <c r="A579" s="0" t="s">
        <v>633</v>
      </c>
      <c r="B579" s="0" t="s">
        <v>49</v>
      </c>
      <c r="C579" s="0" t="s">
        <v>81</v>
      </c>
      <c r="D579" s="0" t="n">
        <v>54</v>
      </c>
      <c r="E579" s="0" t="n">
        <v>591280.1</v>
      </c>
    </row>
    <row r="580" customFormat="false" ht="15" hidden="false" customHeight="false" outlineLevel="0" collapsed="false">
      <c r="A580" s="0" t="s">
        <v>634</v>
      </c>
      <c r="B580" s="0" t="s">
        <v>49</v>
      </c>
      <c r="C580" s="0" t="s">
        <v>53</v>
      </c>
      <c r="D580" s="0" t="n">
        <v>20</v>
      </c>
      <c r="E580" s="0" t="n">
        <v>596285.25</v>
      </c>
    </row>
    <row r="581" customFormat="false" ht="15" hidden="false" customHeight="false" outlineLevel="0" collapsed="false">
      <c r="A581" s="0" t="s">
        <v>635</v>
      </c>
      <c r="B581" s="0" t="s">
        <v>36</v>
      </c>
      <c r="C581" s="0" t="s">
        <v>44</v>
      </c>
      <c r="D581" s="0" t="n">
        <v>93</v>
      </c>
      <c r="E581" s="0" t="n">
        <v>415081.33</v>
      </c>
    </row>
    <row r="582" customFormat="false" ht="15" hidden="false" customHeight="false" outlineLevel="0" collapsed="false">
      <c r="A582" s="0" t="s">
        <v>636</v>
      </c>
      <c r="B582" s="0" t="s">
        <v>36</v>
      </c>
      <c r="C582" s="0" t="s">
        <v>64</v>
      </c>
      <c r="D582" s="0" t="n">
        <v>37</v>
      </c>
      <c r="E582" s="0" t="n">
        <v>657017.06</v>
      </c>
    </row>
    <row r="583" customFormat="false" ht="15" hidden="false" customHeight="false" outlineLevel="0" collapsed="false">
      <c r="A583" s="0" t="s">
        <v>637</v>
      </c>
      <c r="B583" s="0" t="s">
        <v>49</v>
      </c>
      <c r="C583" s="0" t="s">
        <v>89</v>
      </c>
      <c r="D583" s="0" t="n">
        <v>23</v>
      </c>
      <c r="E583" s="0" t="n">
        <v>766043.47</v>
      </c>
    </row>
    <row r="584" customFormat="false" ht="15" hidden="false" customHeight="false" outlineLevel="0" collapsed="false">
      <c r="A584" s="0" t="s">
        <v>638</v>
      </c>
      <c r="B584" s="0" t="s">
        <v>40</v>
      </c>
      <c r="C584" s="0" t="s">
        <v>44</v>
      </c>
      <c r="D584" s="0" t="n">
        <v>3</v>
      </c>
      <c r="E584" s="0" t="n">
        <v>1822839.69</v>
      </c>
    </row>
    <row r="585" customFormat="false" ht="15" hidden="false" customHeight="false" outlineLevel="0" collapsed="false">
      <c r="A585" s="0" t="s">
        <v>639</v>
      </c>
      <c r="B585" s="0" t="s">
        <v>40</v>
      </c>
      <c r="C585" s="0" t="s">
        <v>41</v>
      </c>
      <c r="D585" s="0" t="n">
        <v>35</v>
      </c>
      <c r="E585" s="0" t="n">
        <v>1510689.93</v>
      </c>
    </row>
    <row r="586" customFormat="false" ht="15" hidden="false" customHeight="false" outlineLevel="0" collapsed="false">
      <c r="A586" s="0" t="s">
        <v>640</v>
      </c>
      <c r="B586" s="0" t="s">
        <v>49</v>
      </c>
      <c r="C586" s="0" t="s">
        <v>76</v>
      </c>
      <c r="D586" s="0" t="n">
        <v>30</v>
      </c>
      <c r="E586" s="0" t="n">
        <v>956790.46</v>
      </c>
    </row>
    <row r="587" customFormat="false" ht="15" hidden="false" customHeight="false" outlineLevel="0" collapsed="false">
      <c r="A587" s="0" t="s">
        <v>641</v>
      </c>
      <c r="B587" s="0" t="s">
        <v>36</v>
      </c>
      <c r="C587" s="0" t="s">
        <v>76</v>
      </c>
      <c r="D587" s="0" t="n">
        <v>17</v>
      </c>
      <c r="E587" s="0" t="n">
        <v>506157.65</v>
      </c>
    </row>
    <row r="588" customFormat="false" ht="15" hidden="false" customHeight="false" outlineLevel="0" collapsed="false">
      <c r="A588" s="0" t="s">
        <v>642</v>
      </c>
      <c r="B588" s="0" t="s">
        <v>36</v>
      </c>
      <c r="C588" s="0" t="s">
        <v>41</v>
      </c>
      <c r="D588" s="0" t="n">
        <v>74</v>
      </c>
      <c r="E588" s="0" t="n">
        <v>445968.39</v>
      </c>
    </row>
    <row r="589" customFormat="false" ht="15" hidden="false" customHeight="false" outlineLevel="0" collapsed="false">
      <c r="A589" s="0" t="s">
        <v>643</v>
      </c>
      <c r="B589" s="0" t="s">
        <v>40</v>
      </c>
      <c r="C589" s="0" t="s">
        <v>53</v>
      </c>
      <c r="D589" s="0" t="n">
        <v>50</v>
      </c>
      <c r="E589" s="0" t="n">
        <v>1028681.88</v>
      </c>
    </row>
    <row r="590" customFormat="false" ht="15" hidden="false" customHeight="false" outlineLevel="0" collapsed="false">
      <c r="A590" s="0" t="s">
        <v>644</v>
      </c>
      <c r="B590" s="0" t="s">
        <v>40</v>
      </c>
      <c r="C590" s="0" t="s">
        <v>81</v>
      </c>
      <c r="D590" s="0" t="n">
        <v>7</v>
      </c>
      <c r="E590" s="0" t="n">
        <v>2056495.65</v>
      </c>
    </row>
    <row r="591" customFormat="false" ht="15" hidden="false" customHeight="false" outlineLevel="0" collapsed="false">
      <c r="A591" s="0" t="s">
        <v>645</v>
      </c>
      <c r="B591" s="0" t="s">
        <v>49</v>
      </c>
      <c r="C591" s="0" t="s">
        <v>64</v>
      </c>
      <c r="D591" s="0" t="n">
        <v>7</v>
      </c>
      <c r="E591" s="0" t="n">
        <v>922603.87</v>
      </c>
    </row>
    <row r="592" customFormat="false" ht="15" hidden="false" customHeight="false" outlineLevel="0" collapsed="false">
      <c r="A592" s="0" t="s">
        <v>646</v>
      </c>
      <c r="B592" s="0" t="s">
        <v>36</v>
      </c>
      <c r="C592" s="0" t="s">
        <v>41</v>
      </c>
      <c r="D592" s="0" t="n">
        <v>19</v>
      </c>
      <c r="E592" s="0" t="n">
        <v>506384.37</v>
      </c>
    </row>
    <row r="593" customFormat="false" ht="15" hidden="false" customHeight="false" outlineLevel="0" collapsed="false">
      <c r="A593" s="0" t="s">
        <v>647</v>
      </c>
      <c r="B593" s="0" t="s">
        <v>40</v>
      </c>
      <c r="C593" s="0" t="s">
        <v>64</v>
      </c>
      <c r="D593" s="0" t="n">
        <v>25</v>
      </c>
      <c r="E593" s="0" t="n">
        <v>1528379.72</v>
      </c>
    </row>
    <row r="594" customFormat="false" ht="15" hidden="false" customHeight="false" outlineLevel="0" collapsed="false">
      <c r="A594" s="0" t="s">
        <v>648</v>
      </c>
      <c r="B594" s="0" t="s">
        <v>49</v>
      </c>
      <c r="C594" s="0" t="s">
        <v>76</v>
      </c>
      <c r="D594" s="0" t="n">
        <v>9</v>
      </c>
      <c r="E594" s="0" t="n">
        <v>557538.61</v>
      </c>
    </row>
    <row r="595" customFormat="false" ht="15" hidden="false" customHeight="false" outlineLevel="0" collapsed="false">
      <c r="A595" s="0" t="s">
        <v>649</v>
      </c>
      <c r="B595" s="0" t="s">
        <v>40</v>
      </c>
      <c r="C595" s="0" t="s">
        <v>81</v>
      </c>
      <c r="D595" s="0" t="n">
        <v>5</v>
      </c>
      <c r="E595" s="0" t="n">
        <v>1540221.86</v>
      </c>
    </row>
    <row r="596" customFormat="false" ht="15" hidden="false" customHeight="false" outlineLevel="0" collapsed="false">
      <c r="A596" s="0" t="s">
        <v>650</v>
      </c>
      <c r="B596" s="0" t="s">
        <v>49</v>
      </c>
      <c r="C596" s="0" t="s">
        <v>76</v>
      </c>
      <c r="D596" s="0" t="n">
        <v>59</v>
      </c>
      <c r="E596" s="0" t="n">
        <v>524493.84</v>
      </c>
    </row>
    <row r="597" customFormat="false" ht="15" hidden="false" customHeight="false" outlineLevel="0" collapsed="false">
      <c r="A597" s="0" t="s">
        <v>651</v>
      </c>
      <c r="B597" s="0" t="s">
        <v>36</v>
      </c>
      <c r="C597" s="0" t="s">
        <v>89</v>
      </c>
      <c r="D597" s="0" t="n">
        <v>28</v>
      </c>
      <c r="E597" s="0" t="n">
        <v>262979.87</v>
      </c>
    </row>
    <row r="598" customFormat="false" ht="15" hidden="false" customHeight="false" outlineLevel="0" collapsed="false">
      <c r="A598" s="0" t="s">
        <v>652</v>
      </c>
      <c r="B598" s="0" t="s">
        <v>66</v>
      </c>
      <c r="C598" s="0" t="s">
        <v>53</v>
      </c>
      <c r="D598" s="0" t="n">
        <v>68</v>
      </c>
      <c r="E598" s="0" t="n">
        <v>2742359.77</v>
      </c>
    </row>
    <row r="599" customFormat="false" ht="15" hidden="false" customHeight="false" outlineLevel="0" collapsed="false">
      <c r="A599" s="0" t="s">
        <v>653</v>
      </c>
      <c r="B599" s="0" t="s">
        <v>66</v>
      </c>
      <c r="C599" s="0" t="s">
        <v>44</v>
      </c>
      <c r="D599" s="0" t="n">
        <v>27</v>
      </c>
      <c r="E599" s="0" t="n">
        <v>3732869.38</v>
      </c>
    </row>
    <row r="600" customFormat="false" ht="15" hidden="false" customHeight="false" outlineLevel="0" collapsed="false">
      <c r="A600" s="0" t="s">
        <v>654</v>
      </c>
      <c r="B600" s="0" t="s">
        <v>40</v>
      </c>
      <c r="C600" s="0" t="s">
        <v>76</v>
      </c>
      <c r="D600" s="0" t="n">
        <v>37</v>
      </c>
      <c r="E600" s="0" t="n">
        <v>2133425.75</v>
      </c>
    </row>
    <row r="601" customFormat="false" ht="15" hidden="false" customHeight="false" outlineLevel="0" collapsed="false">
      <c r="A601" s="0" t="s">
        <v>655</v>
      </c>
      <c r="B601" s="0" t="s">
        <v>36</v>
      </c>
      <c r="C601" s="0" t="s">
        <v>53</v>
      </c>
      <c r="D601" s="0" t="n">
        <v>93</v>
      </c>
      <c r="E601" s="0" t="n">
        <v>453845.08</v>
      </c>
    </row>
    <row r="602" customFormat="false" ht="15" hidden="false" customHeight="false" outlineLevel="0" collapsed="false">
      <c r="A602" s="0" t="s">
        <v>656</v>
      </c>
      <c r="B602" s="0" t="s">
        <v>49</v>
      </c>
      <c r="C602" s="0" t="s">
        <v>44</v>
      </c>
      <c r="D602" s="0" t="n">
        <v>64</v>
      </c>
      <c r="E602" s="0" t="n">
        <v>580095.75</v>
      </c>
    </row>
    <row r="603" customFormat="false" ht="15" hidden="false" customHeight="false" outlineLevel="0" collapsed="false">
      <c r="A603" s="0" t="s">
        <v>657</v>
      </c>
      <c r="B603" s="0" t="s">
        <v>40</v>
      </c>
      <c r="C603" s="0" t="s">
        <v>81</v>
      </c>
      <c r="D603" s="0" t="n">
        <v>8</v>
      </c>
      <c r="E603" s="0" t="n">
        <v>1468272.42</v>
      </c>
    </row>
    <row r="604" customFormat="false" ht="15" hidden="false" customHeight="false" outlineLevel="0" collapsed="false">
      <c r="A604" s="0" t="s">
        <v>658</v>
      </c>
      <c r="B604" s="0" t="s">
        <v>36</v>
      </c>
      <c r="C604" s="0" t="s">
        <v>41</v>
      </c>
      <c r="D604" s="0" t="n">
        <v>40</v>
      </c>
      <c r="E604" s="0" t="n">
        <v>331888.75</v>
      </c>
    </row>
    <row r="605" customFormat="false" ht="15" hidden="false" customHeight="false" outlineLevel="0" collapsed="false">
      <c r="A605" s="0" t="s">
        <v>659</v>
      </c>
      <c r="B605" s="0" t="s">
        <v>40</v>
      </c>
      <c r="C605" s="0" t="s">
        <v>76</v>
      </c>
      <c r="D605" s="0" t="n">
        <v>20</v>
      </c>
      <c r="E605" s="0" t="n">
        <v>1532139.26</v>
      </c>
    </row>
    <row r="606" customFormat="false" ht="15" hidden="false" customHeight="false" outlineLevel="0" collapsed="false">
      <c r="A606" s="0" t="s">
        <v>660</v>
      </c>
      <c r="B606" s="0" t="s">
        <v>36</v>
      </c>
      <c r="C606" s="0" t="s">
        <v>64</v>
      </c>
      <c r="D606" s="0" t="n">
        <v>14</v>
      </c>
      <c r="E606" s="0" t="n">
        <v>568198.75</v>
      </c>
    </row>
    <row r="607" customFormat="false" ht="15" hidden="false" customHeight="false" outlineLevel="0" collapsed="false">
      <c r="A607" s="0" t="s">
        <v>661</v>
      </c>
      <c r="B607" s="0" t="s">
        <v>49</v>
      </c>
      <c r="C607" s="0" t="s">
        <v>44</v>
      </c>
      <c r="D607" s="0" t="n">
        <v>43</v>
      </c>
      <c r="E607" s="0" t="n">
        <v>779102.97</v>
      </c>
    </row>
    <row r="608" customFormat="false" ht="15" hidden="false" customHeight="false" outlineLevel="0" collapsed="false">
      <c r="A608" s="0" t="s">
        <v>662</v>
      </c>
      <c r="B608" s="0" t="s">
        <v>36</v>
      </c>
      <c r="C608" s="0" t="s">
        <v>81</v>
      </c>
      <c r="D608" s="0" t="n">
        <v>34</v>
      </c>
      <c r="E608" s="0" t="n">
        <v>322257.26</v>
      </c>
    </row>
    <row r="609" customFormat="false" ht="15" hidden="false" customHeight="false" outlineLevel="0" collapsed="false">
      <c r="A609" s="0" t="s">
        <v>663</v>
      </c>
      <c r="B609" s="0" t="s">
        <v>49</v>
      </c>
      <c r="C609" s="0" t="s">
        <v>76</v>
      </c>
      <c r="D609" s="0" t="n">
        <v>86</v>
      </c>
      <c r="E609" s="0" t="n">
        <v>464897.11</v>
      </c>
    </row>
    <row r="610" customFormat="false" ht="15" hidden="false" customHeight="false" outlineLevel="0" collapsed="false">
      <c r="A610" s="0" t="s">
        <v>664</v>
      </c>
      <c r="B610" s="0" t="s">
        <v>36</v>
      </c>
      <c r="C610" s="0" t="s">
        <v>53</v>
      </c>
      <c r="D610" s="0" t="n">
        <v>77</v>
      </c>
      <c r="E610" s="0" t="n">
        <v>494433.47</v>
      </c>
    </row>
    <row r="611" customFormat="false" ht="15" hidden="false" customHeight="false" outlineLevel="0" collapsed="false">
      <c r="A611" s="0" t="s">
        <v>665</v>
      </c>
      <c r="B611" s="0" t="s">
        <v>49</v>
      </c>
      <c r="C611" s="0" t="s">
        <v>64</v>
      </c>
      <c r="D611" s="0" t="n">
        <v>71</v>
      </c>
      <c r="E611" s="0" t="n">
        <v>530227.68</v>
      </c>
    </row>
    <row r="612" customFormat="false" ht="15" hidden="false" customHeight="false" outlineLevel="0" collapsed="false">
      <c r="A612" s="0" t="s">
        <v>666</v>
      </c>
      <c r="B612" s="0" t="s">
        <v>49</v>
      </c>
      <c r="C612" s="0" t="s">
        <v>81</v>
      </c>
      <c r="D612" s="0" t="n">
        <v>19</v>
      </c>
      <c r="E612" s="0" t="n">
        <v>600069.4</v>
      </c>
    </row>
    <row r="613" customFormat="false" ht="15" hidden="false" customHeight="false" outlineLevel="0" collapsed="false">
      <c r="A613" s="0" t="s">
        <v>667</v>
      </c>
      <c r="B613" s="0" t="s">
        <v>36</v>
      </c>
      <c r="C613" s="0" t="s">
        <v>76</v>
      </c>
      <c r="D613" s="0" t="n">
        <v>35</v>
      </c>
      <c r="E613" s="0" t="n">
        <v>709971.6</v>
      </c>
    </row>
    <row r="614" customFormat="false" ht="15" hidden="false" customHeight="false" outlineLevel="0" collapsed="false">
      <c r="A614" s="0" t="s">
        <v>668</v>
      </c>
      <c r="B614" s="0" t="s">
        <v>36</v>
      </c>
      <c r="C614" s="0" t="s">
        <v>68</v>
      </c>
      <c r="D614" s="0" t="n">
        <v>24</v>
      </c>
      <c r="E614" s="0" t="n">
        <v>326617.84</v>
      </c>
    </row>
    <row r="615" customFormat="false" ht="15" hidden="false" customHeight="false" outlineLevel="0" collapsed="false">
      <c r="A615" s="0" t="s">
        <v>669</v>
      </c>
      <c r="B615" s="0" t="s">
        <v>36</v>
      </c>
      <c r="C615" s="0" t="s">
        <v>81</v>
      </c>
      <c r="D615" s="0" t="n">
        <v>47</v>
      </c>
      <c r="E615" s="0" t="n">
        <v>600342.64</v>
      </c>
    </row>
    <row r="616" customFormat="false" ht="15" hidden="false" customHeight="false" outlineLevel="0" collapsed="false">
      <c r="A616" s="0" t="s">
        <v>670</v>
      </c>
      <c r="B616" s="0" t="s">
        <v>36</v>
      </c>
      <c r="C616" s="0" t="s">
        <v>50</v>
      </c>
      <c r="D616" s="0" t="n">
        <v>22</v>
      </c>
      <c r="E616" s="0" t="n">
        <v>597947.01</v>
      </c>
    </row>
    <row r="617" customFormat="false" ht="15" hidden="false" customHeight="false" outlineLevel="0" collapsed="false">
      <c r="A617" s="0" t="s">
        <v>671</v>
      </c>
      <c r="B617" s="0" t="s">
        <v>49</v>
      </c>
      <c r="C617" s="0" t="s">
        <v>64</v>
      </c>
      <c r="D617" s="0" t="n">
        <v>78</v>
      </c>
      <c r="E617" s="0" t="n">
        <v>573289.62</v>
      </c>
    </row>
    <row r="618" customFormat="false" ht="15" hidden="false" customHeight="false" outlineLevel="0" collapsed="false">
      <c r="A618" s="0" t="s">
        <v>672</v>
      </c>
      <c r="B618" s="0" t="s">
        <v>36</v>
      </c>
      <c r="C618" s="0" t="s">
        <v>64</v>
      </c>
      <c r="D618" s="0" t="n">
        <v>89</v>
      </c>
      <c r="E618" s="0" t="n">
        <v>701129.73</v>
      </c>
    </row>
    <row r="619" customFormat="false" ht="15" hidden="false" customHeight="false" outlineLevel="0" collapsed="false">
      <c r="A619" s="0" t="s">
        <v>673</v>
      </c>
      <c r="B619" s="0" t="s">
        <v>40</v>
      </c>
      <c r="C619" s="0" t="s">
        <v>68</v>
      </c>
      <c r="D619" s="0" t="n">
        <v>40</v>
      </c>
      <c r="E619" s="0" t="n">
        <v>1729283.47</v>
      </c>
    </row>
    <row r="620" customFormat="false" ht="15" hidden="false" customHeight="false" outlineLevel="0" collapsed="false">
      <c r="A620" s="0" t="s">
        <v>674</v>
      </c>
      <c r="B620" s="0" t="s">
        <v>49</v>
      </c>
      <c r="C620" s="0" t="s">
        <v>37</v>
      </c>
      <c r="D620" s="0" t="n">
        <v>69</v>
      </c>
      <c r="E620" s="0" t="n">
        <v>809836.55</v>
      </c>
    </row>
    <row r="621" customFormat="false" ht="15" hidden="false" customHeight="false" outlineLevel="0" collapsed="false">
      <c r="A621" s="0" t="s">
        <v>675</v>
      </c>
      <c r="B621" s="0" t="s">
        <v>36</v>
      </c>
      <c r="C621" s="0" t="s">
        <v>53</v>
      </c>
      <c r="D621" s="0" t="n">
        <v>10</v>
      </c>
      <c r="E621" s="0" t="n">
        <v>425529.88</v>
      </c>
    </row>
    <row r="622" customFormat="false" ht="15" hidden="false" customHeight="false" outlineLevel="0" collapsed="false">
      <c r="A622" s="0" t="s">
        <v>676</v>
      </c>
      <c r="B622" s="0" t="s">
        <v>49</v>
      </c>
      <c r="C622" s="0" t="s">
        <v>64</v>
      </c>
      <c r="D622" s="0" t="n">
        <v>78</v>
      </c>
      <c r="E622" s="0" t="n">
        <v>733688.55</v>
      </c>
    </row>
    <row r="623" customFormat="false" ht="15" hidden="false" customHeight="false" outlineLevel="0" collapsed="false">
      <c r="A623" s="0" t="s">
        <v>677</v>
      </c>
      <c r="B623" s="0" t="s">
        <v>36</v>
      </c>
      <c r="C623" s="0" t="s">
        <v>44</v>
      </c>
      <c r="D623" s="0" t="n">
        <v>65</v>
      </c>
      <c r="E623" s="0" t="n">
        <v>411379.16</v>
      </c>
    </row>
    <row r="624" customFormat="false" ht="15" hidden="false" customHeight="false" outlineLevel="0" collapsed="false">
      <c r="A624" s="0" t="s">
        <v>678</v>
      </c>
      <c r="B624" s="0" t="s">
        <v>36</v>
      </c>
      <c r="C624" s="0" t="s">
        <v>64</v>
      </c>
      <c r="D624" s="0" t="n">
        <v>17</v>
      </c>
      <c r="E624" s="0" t="n">
        <v>472194.56</v>
      </c>
    </row>
    <row r="625" customFormat="false" ht="15" hidden="false" customHeight="false" outlineLevel="0" collapsed="false">
      <c r="A625" s="0" t="s">
        <v>679</v>
      </c>
      <c r="B625" s="0" t="s">
        <v>36</v>
      </c>
      <c r="C625" s="0" t="s">
        <v>64</v>
      </c>
      <c r="D625" s="0" t="n">
        <v>24</v>
      </c>
      <c r="E625" s="0" t="n">
        <v>547042.53</v>
      </c>
    </row>
    <row r="626" customFormat="false" ht="15" hidden="false" customHeight="false" outlineLevel="0" collapsed="false">
      <c r="A626" s="0" t="s">
        <v>680</v>
      </c>
      <c r="B626" s="0" t="s">
        <v>49</v>
      </c>
      <c r="C626" s="0" t="s">
        <v>37</v>
      </c>
      <c r="D626" s="0" t="n">
        <v>85</v>
      </c>
      <c r="E626" s="0" t="n">
        <v>976776.54</v>
      </c>
    </row>
    <row r="627" customFormat="false" ht="15" hidden="false" customHeight="false" outlineLevel="0" collapsed="false">
      <c r="A627" s="0" t="s">
        <v>681</v>
      </c>
      <c r="B627" s="0" t="s">
        <v>40</v>
      </c>
      <c r="C627" s="0" t="s">
        <v>41</v>
      </c>
      <c r="D627" s="0" t="n">
        <v>52</v>
      </c>
      <c r="E627" s="0" t="n">
        <v>969173.71</v>
      </c>
    </row>
    <row r="628" customFormat="false" ht="15" hidden="false" customHeight="false" outlineLevel="0" collapsed="false">
      <c r="A628" s="0" t="s">
        <v>682</v>
      </c>
      <c r="B628" s="0" t="s">
        <v>36</v>
      </c>
      <c r="C628" s="0" t="s">
        <v>68</v>
      </c>
      <c r="D628" s="0" t="n">
        <v>16</v>
      </c>
      <c r="E628" s="0" t="n">
        <v>444557.82</v>
      </c>
    </row>
    <row r="629" customFormat="false" ht="15" hidden="false" customHeight="false" outlineLevel="0" collapsed="false">
      <c r="A629" s="0" t="s">
        <v>683</v>
      </c>
      <c r="B629" s="0" t="s">
        <v>49</v>
      </c>
      <c r="C629" s="0" t="s">
        <v>89</v>
      </c>
      <c r="D629" s="0" t="n">
        <v>26</v>
      </c>
      <c r="E629" s="0" t="n">
        <v>631508.21</v>
      </c>
    </row>
    <row r="630" customFormat="false" ht="15" hidden="false" customHeight="false" outlineLevel="0" collapsed="false">
      <c r="A630" s="0" t="s">
        <v>684</v>
      </c>
      <c r="B630" s="0" t="s">
        <v>49</v>
      </c>
      <c r="C630" s="0" t="s">
        <v>81</v>
      </c>
      <c r="D630" s="0" t="n">
        <v>56</v>
      </c>
      <c r="E630" s="0" t="n">
        <v>629986.53</v>
      </c>
    </row>
    <row r="631" customFormat="false" ht="15" hidden="false" customHeight="false" outlineLevel="0" collapsed="false">
      <c r="A631" s="0" t="s">
        <v>685</v>
      </c>
      <c r="B631" s="0" t="s">
        <v>36</v>
      </c>
      <c r="C631" s="0" t="s">
        <v>44</v>
      </c>
      <c r="D631" s="0" t="n">
        <v>35</v>
      </c>
      <c r="E631" s="0" t="n">
        <v>780234.82</v>
      </c>
    </row>
    <row r="632" customFormat="false" ht="15" hidden="false" customHeight="false" outlineLevel="0" collapsed="false">
      <c r="A632" s="0" t="s">
        <v>686</v>
      </c>
      <c r="B632" s="0" t="s">
        <v>40</v>
      </c>
      <c r="C632" s="0" t="s">
        <v>37</v>
      </c>
      <c r="D632" s="0" t="n">
        <v>75</v>
      </c>
      <c r="E632" s="0" t="n">
        <v>1988953.01</v>
      </c>
    </row>
    <row r="633" customFormat="false" ht="15" hidden="false" customHeight="false" outlineLevel="0" collapsed="false">
      <c r="A633" s="0" t="s">
        <v>687</v>
      </c>
      <c r="B633" s="0" t="s">
        <v>66</v>
      </c>
      <c r="C633" s="0" t="s">
        <v>53</v>
      </c>
      <c r="D633" s="0" t="n">
        <v>14</v>
      </c>
      <c r="E633" s="0" t="n">
        <v>1727159.05</v>
      </c>
    </row>
    <row r="634" customFormat="false" ht="15" hidden="false" customHeight="false" outlineLevel="0" collapsed="false">
      <c r="A634" s="0" t="s">
        <v>688</v>
      </c>
      <c r="B634" s="0" t="s">
        <v>36</v>
      </c>
      <c r="C634" s="0" t="s">
        <v>41</v>
      </c>
      <c r="D634" s="0" t="n">
        <v>31</v>
      </c>
      <c r="E634" s="0" t="n">
        <v>328814.42</v>
      </c>
    </row>
    <row r="635" customFormat="false" ht="15" hidden="false" customHeight="false" outlineLevel="0" collapsed="false">
      <c r="A635" s="0" t="s">
        <v>689</v>
      </c>
      <c r="B635" s="0" t="s">
        <v>36</v>
      </c>
      <c r="C635" s="0" t="s">
        <v>53</v>
      </c>
      <c r="D635" s="0" t="n">
        <v>86</v>
      </c>
      <c r="E635" s="0" t="n">
        <v>317577.58</v>
      </c>
    </row>
    <row r="636" customFormat="false" ht="15" hidden="false" customHeight="false" outlineLevel="0" collapsed="false">
      <c r="A636" s="0" t="s">
        <v>690</v>
      </c>
      <c r="B636" s="0" t="s">
        <v>36</v>
      </c>
      <c r="C636" s="0" t="s">
        <v>53</v>
      </c>
      <c r="D636" s="0" t="n">
        <v>64</v>
      </c>
      <c r="E636" s="0" t="n">
        <v>354110.81</v>
      </c>
    </row>
    <row r="637" customFormat="false" ht="15" hidden="false" customHeight="false" outlineLevel="0" collapsed="false">
      <c r="A637" s="0" t="s">
        <v>691</v>
      </c>
      <c r="B637" s="0" t="s">
        <v>36</v>
      </c>
      <c r="C637" s="0" t="s">
        <v>44</v>
      </c>
      <c r="D637" s="0" t="n">
        <v>83</v>
      </c>
      <c r="E637" s="0" t="n">
        <v>417071.74</v>
      </c>
    </row>
    <row r="638" customFormat="false" ht="15" hidden="false" customHeight="false" outlineLevel="0" collapsed="false">
      <c r="A638" s="0" t="s">
        <v>692</v>
      </c>
      <c r="B638" s="0" t="s">
        <v>36</v>
      </c>
      <c r="C638" s="0" t="s">
        <v>53</v>
      </c>
      <c r="D638" s="0" t="n">
        <v>56</v>
      </c>
      <c r="E638" s="0" t="n">
        <v>536854.65</v>
      </c>
    </row>
    <row r="639" customFormat="false" ht="15" hidden="false" customHeight="false" outlineLevel="0" collapsed="false">
      <c r="A639" s="0" t="s">
        <v>693</v>
      </c>
      <c r="B639" s="0" t="s">
        <v>36</v>
      </c>
      <c r="C639" s="0" t="s">
        <v>41</v>
      </c>
      <c r="D639" s="0" t="n">
        <v>6</v>
      </c>
      <c r="E639" s="0" t="n">
        <v>654395.1</v>
      </c>
    </row>
    <row r="640" customFormat="false" ht="15" hidden="false" customHeight="false" outlineLevel="0" collapsed="false">
      <c r="A640" s="0" t="s">
        <v>694</v>
      </c>
      <c r="B640" s="0" t="s">
        <v>36</v>
      </c>
      <c r="C640" s="0" t="s">
        <v>37</v>
      </c>
      <c r="D640" s="0" t="n">
        <v>28</v>
      </c>
      <c r="E640" s="0" t="n">
        <v>584965.65</v>
      </c>
    </row>
    <row r="641" customFormat="false" ht="15" hidden="false" customHeight="false" outlineLevel="0" collapsed="false">
      <c r="A641" s="0" t="s">
        <v>695</v>
      </c>
      <c r="B641" s="0" t="s">
        <v>36</v>
      </c>
      <c r="C641" s="0" t="s">
        <v>76</v>
      </c>
      <c r="D641" s="0" t="n">
        <v>42</v>
      </c>
      <c r="E641" s="0" t="n">
        <v>362425.43</v>
      </c>
    </row>
    <row r="642" customFormat="false" ht="15" hidden="false" customHeight="false" outlineLevel="0" collapsed="false">
      <c r="A642" s="0" t="s">
        <v>696</v>
      </c>
      <c r="B642" s="0" t="s">
        <v>40</v>
      </c>
      <c r="C642" s="0" t="s">
        <v>44</v>
      </c>
      <c r="D642" s="0" t="n">
        <v>79</v>
      </c>
      <c r="E642" s="0" t="n">
        <v>1827897.38</v>
      </c>
    </row>
    <row r="643" customFormat="false" ht="15" hidden="false" customHeight="false" outlineLevel="0" collapsed="false">
      <c r="A643" s="0" t="s">
        <v>697</v>
      </c>
      <c r="B643" s="0" t="s">
        <v>36</v>
      </c>
      <c r="C643" s="0" t="s">
        <v>64</v>
      </c>
      <c r="D643" s="0" t="n">
        <v>7</v>
      </c>
      <c r="E643" s="0" t="n">
        <v>344807.34</v>
      </c>
    </row>
    <row r="644" customFormat="false" ht="15" hidden="false" customHeight="false" outlineLevel="0" collapsed="false">
      <c r="A644" s="0" t="s">
        <v>698</v>
      </c>
      <c r="B644" s="0" t="s">
        <v>36</v>
      </c>
      <c r="C644" s="0" t="s">
        <v>44</v>
      </c>
      <c r="D644" s="0" t="n">
        <v>52</v>
      </c>
      <c r="E644" s="0" t="n">
        <v>710346.45</v>
      </c>
    </row>
    <row r="645" customFormat="false" ht="15" hidden="false" customHeight="false" outlineLevel="0" collapsed="false">
      <c r="A645" s="0" t="s">
        <v>699</v>
      </c>
      <c r="B645" s="0" t="s">
        <v>49</v>
      </c>
      <c r="C645" s="0" t="s">
        <v>50</v>
      </c>
      <c r="D645" s="0" t="n">
        <v>27</v>
      </c>
      <c r="E645" s="0" t="n">
        <v>490224.62</v>
      </c>
    </row>
    <row r="646" customFormat="false" ht="15" hidden="false" customHeight="false" outlineLevel="0" collapsed="false">
      <c r="A646" s="0" t="s">
        <v>700</v>
      </c>
      <c r="B646" s="0" t="s">
        <v>36</v>
      </c>
      <c r="C646" s="0" t="s">
        <v>68</v>
      </c>
      <c r="D646" s="0" t="n">
        <v>6</v>
      </c>
      <c r="E646" s="0" t="n">
        <v>747588.43</v>
      </c>
    </row>
    <row r="647" customFormat="false" ht="15" hidden="false" customHeight="false" outlineLevel="0" collapsed="false">
      <c r="A647" s="0" t="s">
        <v>701</v>
      </c>
      <c r="B647" s="0" t="s">
        <v>49</v>
      </c>
      <c r="C647" s="0" t="s">
        <v>44</v>
      </c>
      <c r="D647" s="0" t="n">
        <v>86</v>
      </c>
      <c r="E647" s="0" t="n">
        <v>1050070.05</v>
      </c>
    </row>
    <row r="648" customFormat="false" ht="15" hidden="false" customHeight="false" outlineLevel="0" collapsed="false">
      <c r="A648" s="0" t="s">
        <v>702</v>
      </c>
      <c r="B648" s="0" t="s">
        <v>36</v>
      </c>
      <c r="C648" s="0" t="s">
        <v>64</v>
      </c>
      <c r="D648" s="0" t="n">
        <v>65</v>
      </c>
      <c r="E648" s="0" t="n">
        <v>683997.69</v>
      </c>
    </row>
    <row r="649" customFormat="false" ht="15" hidden="false" customHeight="false" outlineLevel="0" collapsed="false">
      <c r="A649" s="0" t="s">
        <v>703</v>
      </c>
      <c r="B649" s="0" t="s">
        <v>49</v>
      </c>
      <c r="C649" s="0" t="s">
        <v>89</v>
      </c>
      <c r="D649" s="0" t="n">
        <v>36</v>
      </c>
      <c r="E649" s="0" t="n">
        <v>683242.26</v>
      </c>
    </row>
    <row r="650" customFormat="false" ht="15" hidden="false" customHeight="false" outlineLevel="0" collapsed="false">
      <c r="A650" s="0" t="s">
        <v>704</v>
      </c>
      <c r="B650" s="0" t="s">
        <v>36</v>
      </c>
      <c r="C650" s="0" t="s">
        <v>53</v>
      </c>
      <c r="D650" s="0" t="n">
        <v>17</v>
      </c>
      <c r="E650" s="0" t="n">
        <v>724112.97</v>
      </c>
    </row>
    <row r="651" customFormat="false" ht="15" hidden="false" customHeight="false" outlineLevel="0" collapsed="false">
      <c r="A651" s="0" t="s">
        <v>705</v>
      </c>
      <c r="B651" s="0" t="s">
        <v>66</v>
      </c>
      <c r="C651" s="0" t="s">
        <v>50</v>
      </c>
      <c r="D651" s="0" t="n">
        <v>29</v>
      </c>
      <c r="E651" s="0" t="n">
        <v>2724182.03</v>
      </c>
    </row>
    <row r="652" customFormat="false" ht="15" hidden="false" customHeight="false" outlineLevel="0" collapsed="false">
      <c r="A652" s="0" t="s">
        <v>706</v>
      </c>
      <c r="B652" s="0" t="s">
        <v>49</v>
      </c>
      <c r="C652" s="0" t="s">
        <v>64</v>
      </c>
      <c r="D652" s="0" t="n">
        <v>33</v>
      </c>
      <c r="E652" s="0" t="n">
        <v>478318.75</v>
      </c>
    </row>
    <row r="653" customFormat="false" ht="15" hidden="false" customHeight="false" outlineLevel="0" collapsed="false">
      <c r="A653" s="0" t="s">
        <v>707</v>
      </c>
      <c r="B653" s="0" t="s">
        <v>40</v>
      </c>
      <c r="C653" s="0" t="s">
        <v>44</v>
      </c>
      <c r="D653" s="0" t="n">
        <v>54</v>
      </c>
      <c r="E653" s="0" t="n">
        <v>1622678.76</v>
      </c>
    </row>
    <row r="654" customFormat="false" ht="15" hidden="false" customHeight="false" outlineLevel="0" collapsed="false">
      <c r="A654" s="0" t="s">
        <v>708</v>
      </c>
      <c r="B654" s="0" t="s">
        <v>36</v>
      </c>
      <c r="C654" s="0" t="s">
        <v>50</v>
      </c>
      <c r="D654" s="0" t="n">
        <v>85</v>
      </c>
      <c r="E654" s="0" t="n">
        <v>554459.44</v>
      </c>
    </row>
    <row r="655" customFormat="false" ht="15" hidden="false" customHeight="false" outlineLevel="0" collapsed="false">
      <c r="A655" s="0" t="s">
        <v>709</v>
      </c>
      <c r="B655" s="0" t="s">
        <v>36</v>
      </c>
      <c r="C655" s="0" t="s">
        <v>44</v>
      </c>
      <c r="D655" s="0" t="n">
        <v>12</v>
      </c>
      <c r="E655" s="0" t="n">
        <v>333283.81</v>
      </c>
    </row>
    <row r="656" customFormat="false" ht="15" hidden="false" customHeight="false" outlineLevel="0" collapsed="false">
      <c r="A656" s="0" t="s">
        <v>710</v>
      </c>
      <c r="B656" s="0" t="s">
        <v>66</v>
      </c>
      <c r="C656" s="0" t="s">
        <v>68</v>
      </c>
      <c r="D656" s="0" t="n">
        <v>33</v>
      </c>
      <c r="E656" s="0" t="n">
        <v>1831086.76</v>
      </c>
    </row>
    <row r="657" customFormat="false" ht="15" hidden="false" customHeight="false" outlineLevel="0" collapsed="false">
      <c r="A657" s="0" t="s">
        <v>711</v>
      </c>
      <c r="B657" s="0" t="s">
        <v>49</v>
      </c>
      <c r="C657" s="0" t="s">
        <v>41</v>
      </c>
      <c r="D657" s="0" t="n">
        <v>28</v>
      </c>
      <c r="E657" s="0" t="n">
        <v>907108.56</v>
      </c>
    </row>
    <row r="658" customFormat="false" ht="15" hidden="false" customHeight="false" outlineLevel="0" collapsed="false">
      <c r="A658" s="0" t="s">
        <v>712</v>
      </c>
      <c r="B658" s="0" t="s">
        <v>36</v>
      </c>
      <c r="C658" s="0" t="s">
        <v>68</v>
      </c>
      <c r="D658" s="0" t="n">
        <v>61</v>
      </c>
      <c r="E658" s="0" t="n">
        <v>666172.71</v>
      </c>
    </row>
    <row r="659" customFormat="false" ht="15" hidden="false" customHeight="false" outlineLevel="0" collapsed="false">
      <c r="A659" s="0" t="s">
        <v>713</v>
      </c>
      <c r="B659" s="0" t="s">
        <v>36</v>
      </c>
      <c r="C659" s="0" t="s">
        <v>53</v>
      </c>
      <c r="D659" s="0" t="n">
        <v>7</v>
      </c>
      <c r="E659" s="0" t="n">
        <v>722533.94</v>
      </c>
    </row>
    <row r="660" customFormat="false" ht="15" hidden="false" customHeight="false" outlineLevel="0" collapsed="false">
      <c r="A660" s="0" t="s">
        <v>714</v>
      </c>
      <c r="B660" s="0" t="s">
        <v>36</v>
      </c>
      <c r="C660" s="0" t="s">
        <v>64</v>
      </c>
      <c r="D660" s="0" t="n">
        <v>33</v>
      </c>
      <c r="E660" s="0" t="n">
        <v>499771.68</v>
      </c>
    </row>
    <row r="661" customFormat="false" ht="15" hidden="false" customHeight="false" outlineLevel="0" collapsed="false">
      <c r="A661" s="0" t="s">
        <v>715</v>
      </c>
      <c r="B661" s="0" t="s">
        <v>36</v>
      </c>
      <c r="C661" s="0" t="s">
        <v>53</v>
      </c>
      <c r="D661" s="0" t="n">
        <v>42</v>
      </c>
      <c r="E661" s="0" t="n">
        <v>430913.99</v>
      </c>
    </row>
    <row r="662" customFormat="false" ht="15" hidden="false" customHeight="false" outlineLevel="0" collapsed="false">
      <c r="A662" s="0" t="s">
        <v>716</v>
      </c>
      <c r="B662" s="0" t="s">
        <v>36</v>
      </c>
      <c r="C662" s="0" t="s">
        <v>44</v>
      </c>
      <c r="D662" s="0" t="n">
        <v>92</v>
      </c>
      <c r="E662" s="0" t="n">
        <v>751431.61</v>
      </c>
    </row>
    <row r="663" customFormat="false" ht="15" hidden="false" customHeight="false" outlineLevel="0" collapsed="false">
      <c r="A663" s="0" t="s">
        <v>717</v>
      </c>
      <c r="B663" s="0" t="s">
        <v>40</v>
      </c>
      <c r="C663" s="0" t="s">
        <v>81</v>
      </c>
      <c r="D663" s="0" t="n">
        <v>11</v>
      </c>
      <c r="E663" s="0" t="n">
        <v>1684352.43</v>
      </c>
    </row>
    <row r="664" customFormat="false" ht="15" hidden="false" customHeight="false" outlineLevel="0" collapsed="false">
      <c r="A664" s="0" t="s">
        <v>718</v>
      </c>
      <c r="B664" s="0" t="s">
        <v>36</v>
      </c>
      <c r="C664" s="0" t="s">
        <v>76</v>
      </c>
      <c r="D664" s="0" t="n">
        <v>16</v>
      </c>
      <c r="E664" s="0" t="n">
        <v>634233.01</v>
      </c>
    </row>
    <row r="665" customFormat="false" ht="15" hidden="false" customHeight="false" outlineLevel="0" collapsed="false">
      <c r="A665" s="0" t="s">
        <v>719</v>
      </c>
      <c r="B665" s="0" t="s">
        <v>36</v>
      </c>
      <c r="C665" s="0" t="s">
        <v>81</v>
      </c>
      <c r="D665" s="0" t="n">
        <v>65</v>
      </c>
      <c r="E665" s="0" t="n">
        <v>340768.52</v>
      </c>
    </row>
    <row r="666" customFormat="false" ht="15" hidden="false" customHeight="false" outlineLevel="0" collapsed="false">
      <c r="A666" s="0" t="s">
        <v>720</v>
      </c>
      <c r="B666" s="0" t="s">
        <v>40</v>
      </c>
      <c r="C666" s="0" t="s">
        <v>44</v>
      </c>
      <c r="D666" s="0" t="n">
        <v>28</v>
      </c>
      <c r="E666" s="0" t="n">
        <v>1451654.75</v>
      </c>
    </row>
    <row r="667" customFormat="false" ht="15" hidden="false" customHeight="false" outlineLevel="0" collapsed="false">
      <c r="A667" s="0" t="s">
        <v>721</v>
      </c>
      <c r="B667" s="0" t="s">
        <v>49</v>
      </c>
      <c r="C667" s="0" t="s">
        <v>41</v>
      </c>
      <c r="D667" s="0" t="n">
        <v>54</v>
      </c>
      <c r="E667" s="0" t="n">
        <v>738221.35</v>
      </c>
    </row>
    <row r="668" customFormat="false" ht="15" hidden="false" customHeight="false" outlineLevel="0" collapsed="false">
      <c r="A668" s="0" t="s">
        <v>722</v>
      </c>
      <c r="B668" s="0" t="s">
        <v>36</v>
      </c>
      <c r="C668" s="0" t="s">
        <v>53</v>
      </c>
      <c r="D668" s="0" t="n">
        <v>88</v>
      </c>
      <c r="E668" s="0" t="n">
        <v>428450.91</v>
      </c>
    </row>
    <row r="669" customFormat="false" ht="15" hidden="false" customHeight="false" outlineLevel="0" collapsed="false">
      <c r="A669" s="0" t="s">
        <v>723</v>
      </c>
      <c r="B669" s="0" t="s">
        <v>36</v>
      </c>
      <c r="C669" s="0" t="s">
        <v>64</v>
      </c>
      <c r="D669" s="0" t="n">
        <v>3</v>
      </c>
      <c r="E669" s="0" t="n">
        <v>304832.97</v>
      </c>
    </row>
    <row r="670" customFormat="false" ht="15" hidden="false" customHeight="false" outlineLevel="0" collapsed="false">
      <c r="A670" s="0" t="s">
        <v>724</v>
      </c>
      <c r="B670" s="0" t="s">
        <v>36</v>
      </c>
      <c r="C670" s="0" t="s">
        <v>44</v>
      </c>
      <c r="D670" s="0" t="n">
        <v>53</v>
      </c>
      <c r="E670" s="0" t="n">
        <v>678824.81</v>
      </c>
    </row>
    <row r="671" customFormat="false" ht="15" hidden="false" customHeight="false" outlineLevel="0" collapsed="false">
      <c r="A671" s="0" t="s">
        <v>725</v>
      </c>
      <c r="B671" s="0" t="s">
        <v>66</v>
      </c>
      <c r="C671" s="0" t="s">
        <v>81</v>
      </c>
      <c r="D671" s="0" t="n">
        <v>38</v>
      </c>
      <c r="E671" s="0" t="n">
        <v>2307360.04</v>
      </c>
    </row>
    <row r="672" customFormat="false" ht="15" hidden="false" customHeight="false" outlineLevel="0" collapsed="false">
      <c r="A672" s="0" t="s">
        <v>726</v>
      </c>
      <c r="B672" s="0" t="s">
        <v>36</v>
      </c>
      <c r="C672" s="0" t="s">
        <v>44</v>
      </c>
      <c r="D672" s="0" t="n">
        <v>32</v>
      </c>
      <c r="E672" s="0" t="n">
        <v>683085.97</v>
      </c>
    </row>
    <row r="673" customFormat="false" ht="15" hidden="false" customHeight="false" outlineLevel="0" collapsed="false">
      <c r="A673" s="0" t="s">
        <v>727</v>
      </c>
      <c r="B673" s="0" t="s">
        <v>36</v>
      </c>
      <c r="C673" s="0" t="s">
        <v>37</v>
      </c>
      <c r="D673" s="0" t="n">
        <v>95</v>
      </c>
      <c r="E673" s="0" t="n">
        <v>603733.92</v>
      </c>
    </row>
    <row r="674" customFormat="false" ht="15" hidden="false" customHeight="false" outlineLevel="0" collapsed="false">
      <c r="A674" s="0" t="s">
        <v>728</v>
      </c>
      <c r="B674" s="0" t="s">
        <v>40</v>
      </c>
      <c r="C674" s="0" t="s">
        <v>44</v>
      </c>
      <c r="D674" s="0" t="n">
        <v>40</v>
      </c>
      <c r="E674" s="0" t="n">
        <v>1731712.05</v>
      </c>
    </row>
    <row r="675" customFormat="false" ht="15" hidden="false" customHeight="false" outlineLevel="0" collapsed="false">
      <c r="A675" s="0" t="s">
        <v>729</v>
      </c>
      <c r="B675" s="0" t="s">
        <v>49</v>
      </c>
      <c r="C675" s="0" t="s">
        <v>44</v>
      </c>
      <c r="D675" s="0" t="n">
        <v>56</v>
      </c>
      <c r="E675" s="0" t="n">
        <v>627662.78</v>
      </c>
    </row>
    <row r="676" customFormat="false" ht="15" hidden="false" customHeight="false" outlineLevel="0" collapsed="false">
      <c r="A676" s="0" t="s">
        <v>730</v>
      </c>
      <c r="B676" s="0" t="s">
        <v>49</v>
      </c>
      <c r="C676" s="0" t="s">
        <v>50</v>
      </c>
      <c r="D676" s="0" t="n">
        <v>49</v>
      </c>
      <c r="E676" s="0" t="n">
        <v>531994.77</v>
      </c>
    </row>
    <row r="677" customFormat="false" ht="15" hidden="false" customHeight="false" outlineLevel="0" collapsed="false">
      <c r="A677" s="0" t="s">
        <v>731</v>
      </c>
      <c r="B677" s="0" t="s">
        <v>49</v>
      </c>
      <c r="C677" s="0" t="s">
        <v>44</v>
      </c>
      <c r="D677" s="0" t="n">
        <v>60</v>
      </c>
      <c r="E677" s="0" t="n">
        <v>685881.49</v>
      </c>
    </row>
    <row r="678" customFormat="false" ht="15" hidden="false" customHeight="false" outlineLevel="0" collapsed="false">
      <c r="A678" s="0" t="s">
        <v>732</v>
      </c>
      <c r="B678" s="0" t="s">
        <v>36</v>
      </c>
      <c r="C678" s="0" t="s">
        <v>53</v>
      </c>
      <c r="D678" s="0" t="n">
        <v>13</v>
      </c>
      <c r="E678" s="0" t="n">
        <v>736556.47</v>
      </c>
    </row>
    <row r="679" customFormat="false" ht="15" hidden="false" customHeight="false" outlineLevel="0" collapsed="false">
      <c r="A679" s="0" t="s">
        <v>733</v>
      </c>
      <c r="B679" s="0" t="s">
        <v>49</v>
      </c>
      <c r="C679" s="0" t="s">
        <v>81</v>
      </c>
      <c r="D679" s="0" t="n">
        <v>24</v>
      </c>
      <c r="E679" s="0" t="n">
        <v>591536.16</v>
      </c>
    </row>
    <row r="680" customFormat="false" ht="15" hidden="false" customHeight="false" outlineLevel="0" collapsed="false">
      <c r="A680" s="0" t="s">
        <v>734</v>
      </c>
      <c r="B680" s="0" t="s">
        <v>40</v>
      </c>
      <c r="C680" s="0" t="s">
        <v>53</v>
      </c>
      <c r="D680" s="0" t="n">
        <v>67</v>
      </c>
      <c r="E680" s="0" t="n">
        <v>1468174.58</v>
      </c>
    </row>
    <row r="681" customFormat="false" ht="15" hidden="false" customHeight="false" outlineLevel="0" collapsed="false">
      <c r="A681" s="0" t="s">
        <v>735</v>
      </c>
      <c r="B681" s="0" t="s">
        <v>36</v>
      </c>
      <c r="C681" s="0" t="s">
        <v>41</v>
      </c>
      <c r="D681" s="0" t="n">
        <v>70</v>
      </c>
      <c r="E681" s="0" t="n">
        <v>333327.84</v>
      </c>
    </row>
    <row r="682" customFormat="false" ht="15" hidden="false" customHeight="false" outlineLevel="0" collapsed="false">
      <c r="A682" s="0" t="s">
        <v>736</v>
      </c>
      <c r="B682" s="0" t="s">
        <v>49</v>
      </c>
      <c r="C682" s="0" t="s">
        <v>64</v>
      </c>
      <c r="D682" s="0" t="n">
        <v>68</v>
      </c>
      <c r="E682" s="0" t="n">
        <v>467958.63</v>
      </c>
    </row>
    <row r="683" customFormat="false" ht="15" hidden="false" customHeight="false" outlineLevel="0" collapsed="false">
      <c r="A683" s="0" t="s">
        <v>737</v>
      </c>
      <c r="B683" s="0" t="s">
        <v>36</v>
      </c>
      <c r="C683" s="0" t="s">
        <v>76</v>
      </c>
      <c r="D683" s="0" t="n">
        <v>74</v>
      </c>
      <c r="E683" s="0" t="n">
        <v>586406.15</v>
      </c>
    </row>
    <row r="684" customFormat="false" ht="15" hidden="false" customHeight="false" outlineLevel="0" collapsed="false">
      <c r="A684" s="0" t="s">
        <v>738</v>
      </c>
      <c r="B684" s="0" t="s">
        <v>36</v>
      </c>
      <c r="C684" s="0" t="s">
        <v>68</v>
      </c>
      <c r="D684" s="0" t="n">
        <v>73</v>
      </c>
      <c r="E684" s="0" t="n">
        <v>402697.6</v>
      </c>
    </row>
    <row r="685" customFormat="false" ht="15" hidden="false" customHeight="false" outlineLevel="0" collapsed="false">
      <c r="A685" s="0" t="s">
        <v>739</v>
      </c>
      <c r="B685" s="0" t="s">
        <v>36</v>
      </c>
      <c r="C685" s="0" t="s">
        <v>76</v>
      </c>
      <c r="D685" s="0" t="n">
        <v>93</v>
      </c>
      <c r="E685" s="0" t="n">
        <v>600999.27</v>
      </c>
    </row>
    <row r="686" customFormat="false" ht="15" hidden="false" customHeight="false" outlineLevel="0" collapsed="false">
      <c r="A686" s="0" t="s">
        <v>740</v>
      </c>
      <c r="B686" s="0" t="s">
        <v>36</v>
      </c>
      <c r="C686" s="0" t="s">
        <v>44</v>
      </c>
      <c r="D686" s="0" t="n">
        <v>18</v>
      </c>
      <c r="E686" s="0" t="n">
        <v>318860.33</v>
      </c>
    </row>
    <row r="687" customFormat="false" ht="15" hidden="false" customHeight="false" outlineLevel="0" collapsed="false">
      <c r="A687" s="0" t="s">
        <v>741</v>
      </c>
      <c r="B687" s="0" t="s">
        <v>66</v>
      </c>
      <c r="C687" s="0" t="s">
        <v>64</v>
      </c>
      <c r="D687" s="0" t="n">
        <v>85</v>
      </c>
      <c r="E687" s="0" t="n">
        <v>3552654.17</v>
      </c>
    </row>
    <row r="688" customFormat="false" ht="15" hidden="false" customHeight="false" outlineLevel="0" collapsed="false">
      <c r="A688" s="0" t="s">
        <v>742</v>
      </c>
      <c r="B688" s="0" t="s">
        <v>36</v>
      </c>
      <c r="C688" s="0" t="s">
        <v>41</v>
      </c>
      <c r="D688" s="0" t="n">
        <v>63</v>
      </c>
      <c r="E688" s="0" t="n">
        <v>774837.29</v>
      </c>
    </row>
    <row r="689" customFormat="false" ht="15" hidden="false" customHeight="false" outlineLevel="0" collapsed="false">
      <c r="A689" s="0" t="s">
        <v>743</v>
      </c>
      <c r="B689" s="0" t="s">
        <v>40</v>
      </c>
      <c r="C689" s="0" t="s">
        <v>37</v>
      </c>
      <c r="D689" s="0" t="n">
        <v>57</v>
      </c>
      <c r="E689" s="0" t="n">
        <v>1272748.54</v>
      </c>
    </row>
    <row r="690" customFormat="false" ht="15" hidden="false" customHeight="false" outlineLevel="0" collapsed="false">
      <c r="A690" s="0" t="s">
        <v>744</v>
      </c>
      <c r="B690" s="0" t="s">
        <v>36</v>
      </c>
      <c r="C690" s="0" t="s">
        <v>53</v>
      </c>
      <c r="D690" s="0" t="n">
        <v>18</v>
      </c>
      <c r="E690" s="0" t="n">
        <v>406775.58</v>
      </c>
    </row>
    <row r="691" customFormat="false" ht="15" hidden="false" customHeight="false" outlineLevel="0" collapsed="false">
      <c r="A691" s="0" t="s">
        <v>745</v>
      </c>
      <c r="B691" s="0" t="s">
        <v>36</v>
      </c>
      <c r="C691" s="0" t="s">
        <v>53</v>
      </c>
      <c r="D691" s="0" t="n">
        <v>56</v>
      </c>
      <c r="E691" s="0" t="n">
        <v>510928.82</v>
      </c>
    </row>
    <row r="692" customFormat="false" ht="15" hidden="false" customHeight="false" outlineLevel="0" collapsed="false">
      <c r="A692" s="0" t="s">
        <v>746</v>
      </c>
      <c r="B692" s="0" t="s">
        <v>40</v>
      </c>
      <c r="C692" s="0" t="s">
        <v>81</v>
      </c>
      <c r="D692" s="0" t="n">
        <v>55</v>
      </c>
      <c r="E692" s="0" t="n">
        <v>1293560.13</v>
      </c>
    </row>
    <row r="693" customFormat="false" ht="15" hidden="false" customHeight="false" outlineLevel="0" collapsed="false">
      <c r="A693" s="0" t="s">
        <v>747</v>
      </c>
      <c r="B693" s="0" t="s">
        <v>36</v>
      </c>
      <c r="C693" s="0" t="s">
        <v>44</v>
      </c>
      <c r="D693" s="0" t="n">
        <v>58</v>
      </c>
      <c r="E693" s="0" t="n">
        <v>529082.64</v>
      </c>
    </row>
    <row r="694" customFormat="false" ht="15" hidden="false" customHeight="false" outlineLevel="0" collapsed="false">
      <c r="A694" s="0" t="s">
        <v>748</v>
      </c>
      <c r="B694" s="0" t="s">
        <v>40</v>
      </c>
      <c r="C694" s="0" t="s">
        <v>50</v>
      </c>
      <c r="D694" s="0" t="n">
        <v>80</v>
      </c>
      <c r="E694" s="0" t="n">
        <v>1668127.89</v>
      </c>
    </row>
    <row r="695" customFormat="false" ht="15" hidden="false" customHeight="false" outlineLevel="0" collapsed="false">
      <c r="A695" s="0" t="s">
        <v>749</v>
      </c>
      <c r="B695" s="0" t="s">
        <v>49</v>
      </c>
      <c r="C695" s="0" t="s">
        <v>41</v>
      </c>
      <c r="D695" s="0" t="n">
        <v>90</v>
      </c>
      <c r="E695" s="0" t="n">
        <v>1057349.89</v>
      </c>
    </row>
    <row r="696" customFormat="false" ht="15" hidden="false" customHeight="false" outlineLevel="0" collapsed="false">
      <c r="A696" s="0" t="s">
        <v>750</v>
      </c>
      <c r="B696" s="0" t="s">
        <v>40</v>
      </c>
      <c r="C696" s="0" t="s">
        <v>37</v>
      </c>
      <c r="D696" s="0" t="n">
        <v>70</v>
      </c>
      <c r="E696" s="0" t="n">
        <v>1594032.05</v>
      </c>
    </row>
    <row r="697" customFormat="false" ht="15" hidden="false" customHeight="false" outlineLevel="0" collapsed="false">
      <c r="A697" s="0" t="s">
        <v>751</v>
      </c>
      <c r="B697" s="0" t="s">
        <v>36</v>
      </c>
      <c r="C697" s="0" t="s">
        <v>81</v>
      </c>
      <c r="D697" s="0" t="n">
        <v>47</v>
      </c>
      <c r="E697" s="0" t="n">
        <v>461832.62</v>
      </c>
    </row>
    <row r="698" customFormat="false" ht="15" hidden="false" customHeight="false" outlineLevel="0" collapsed="false">
      <c r="A698" s="0" t="s">
        <v>752</v>
      </c>
      <c r="B698" s="0" t="s">
        <v>66</v>
      </c>
      <c r="C698" s="0" t="s">
        <v>53</v>
      </c>
      <c r="D698" s="0" t="n">
        <v>11</v>
      </c>
      <c r="E698" s="0" t="n">
        <v>2554657.52</v>
      </c>
    </row>
    <row r="699" customFormat="false" ht="15" hidden="false" customHeight="false" outlineLevel="0" collapsed="false">
      <c r="A699" s="0" t="s">
        <v>753</v>
      </c>
      <c r="B699" s="0" t="s">
        <v>36</v>
      </c>
      <c r="C699" s="0" t="s">
        <v>53</v>
      </c>
      <c r="D699" s="0" t="n">
        <v>8</v>
      </c>
      <c r="E699" s="0" t="n">
        <v>588469.5</v>
      </c>
    </row>
    <row r="700" customFormat="false" ht="15" hidden="false" customHeight="false" outlineLevel="0" collapsed="false">
      <c r="A700" s="0" t="s">
        <v>754</v>
      </c>
      <c r="B700" s="0" t="s">
        <v>40</v>
      </c>
      <c r="C700" s="0" t="s">
        <v>64</v>
      </c>
      <c r="D700" s="0" t="n">
        <v>44</v>
      </c>
      <c r="E700" s="0" t="n">
        <v>1976976.57</v>
      </c>
    </row>
    <row r="701" customFormat="false" ht="15" hidden="false" customHeight="false" outlineLevel="0" collapsed="false">
      <c r="A701" s="0" t="s">
        <v>755</v>
      </c>
      <c r="B701" s="0" t="s">
        <v>40</v>
      </c>
      <c r="C701" s="0" t="s">
        <v>89</v>
      </c>
      <c r="D701" s="0" t="n">
        <v>54</v>
      </c>
      <c r="E701" s="0" t="n">
        <v>1254624.67</v>
      </c>
    </row>
    <row r="702" customFormat="false" ht="15" hidden="false" customHeight="false" outlineLevel="0" collapsed="false">
      <c r="A702" s="0" t="s">
        <v>756</v>
      </c>
      <c r="B702" s="0" t="s">
        <v>49</v>
      </c>
      <c r="C702" s="0" t="s">
        <v>50</v>
      </c>
      <c r="D702" s="0" t="n">
        <v>41</v>
      </c>
      <c r="E702" s="0" t="n">
        <v>617407.89</v>
      </c>
    </row>
    <row r="703" customFormat="false" ht="15" hidden="false" customHeight="false" outlineLevel="0" collapsed="false">
      <c r="A703" s="0" t="s">
        <v>757</v>
      </c>
      <c r="B703" s="0" t="s">
        <v>49</v>
      </c>
      <c r="C703" s="0" t="s">
        <v>41</v>
      </c>
      <c r="D703" s="0" t="n">
        <v>20</v>
      </c>
      <c r="E703" s="0" t="n">
        <v>1112063.05</v>
      </c>
    </row>
    <row r="704" customFormat="false" ht="15" hidden="false" customHeight="false" outlineLevel="0" collapsed="false">
      <c r="A704" s="0" t="s">
        <v>758</v>
      </c>
      <c r="B704" s="0" t="s">
        <v>49</v>
      </c>
      <c r="C704" s="0" t="s">
        <v>50</v>
      </c>
      <c r="D704" s="0" t="n">
        <v>24</v>
      </c>
      <c r="E704" s="0" t="n">
        <v>700898.45</v>
      </c>
    </row>
    <row r="705" customFormat="false" ht="15" hidden="false" customHeight="false" outlineLevel="0" collapsed="false">
      <c r="A705" s="0" t="s">
        <v>759</v>
      </c>
      <c r="B705" s="0" t="s">
        <v>36</v>
      </c>
      <c r="C705" s="0" t="s">
        <v>64</v>
      </c>
      <c r="D705" s="0" t="n">
        <v>38</v>
      </c>
      <c r="E705" s="0" t="n">
        <v>427766.04</v>
      </c>
    </row>
    <row r="706" customFormat="false" ht="15" hidden="false" customHeight="false" outlineLevel="0" collapsed="false">
      <c r="A706" s="0" t="s">
        <v>760</v>
      </c>
      <c r="B706" s="0" t="s">
        <v>36</v>
      </c>
      <c r="C706" s="0" t="s">
        <v>81</v>
      </c>
      <c r="D706" s="0" t="n">
        <v>38</v>
      </c>
      <c r="E706" s="0" t="n">
        <v>858052.16</v>
      </c>
    </row>
    <row r="707" customFormat="false" ht="15" hidden="false" customHeight="false" outlineLevel="0" collapsed="false">
      <c r="A707" s="0" t="s">
        <v>761</v>
      </c>
      <c r="B707" s="0" t="s">
        <v>36</v>
      </c>
      <c r="C707" s="0" t="s">
        <v>81</v>
      </c>
      <c r="D707" s="0" t="n">
        <v>55</v>
      </c>
      <c r="E707" s="0" t="n">
        <v>643937.36</v>
      </c>
    </row>
    <row r="708" customFormat="false" ht="15" hidden="false" customHeight="false" outlineLevel="0" collapsed="false">
      <c r="A708" s="0" t="s">
        <v>762</v>
      </c>
      <c r="B708" s="0" t="s">
        <v>49</v>
      </c>
      <c r="C708" s="0" t="s">
        <v>37</v>
      </c>
      <c r="D708" s="0" t="n">
        <v>12</v>
      </c>
      <c r="E708" s="0" t="n">
        <v>1034484.29</v>
      </c>
    </row>
    <row r="709" customFormat="false" ht="15" hidden="false" customHeight="false" outlineLevel="0" collapsed="false">
      <c r="A709" s="0" t="s">
        <v>763</v>
      </c>
      <c r="B709" s="0" t="s">
        <v>36</v>
      </c>
      <c r="C709" s="0" t="s">
        <v>81</v>
      </c>
      <c r="D709" s="0" t="n">
        <v>10</v>
      </c>
      <c r="E709" s="0" t="n">
        <v>638681.36</v>
      </c>
    </row>
    <row r="710" customFormat="false" ht="15" hidden="false" customHeight="false" outlineLevel="0" collapsed="false">
      <c r="A710" s="0" t="s">
        <v>764</v>
      </c>
      <c r="B710" s="0" t="s">
        <v>36</v>
      </c>
      <c r="C710" s="0" t="s">
        <v>53</v>
      </c>
      <c r="D710" s="0" t="n">
        <v>25</v>
      </c>
      <c r="E710" s="0" t="n">
        <v>767176.44</v>
      </c>
    </row>
    <row r="711" customFormat="false" ht="15" hidden="false" customHeight="false" outlineLevel="0" collapsed="false">
      <c r="A711" s="0" t="s">
        <v>765</v>
      </c>
      <c r="B711" s="0" t="s">
        <v>66</v>
      </c>
      <c r="C711" s="0" t="s">
        <v>68</v>
      </c>
      <c r="D711" s="0" t="n">
        <v>54</v>
      </c>
      <c r="E711" s="0" t="n">
        <v>3250678.99</v>
      </c>
    </row>
    <row r="712" customFormat="false" ht="15" hidden="false" customHeight="false" outlineLevel="0" collapsed="false">
      <c r="A712" s="0" t="s">
        <v>766</v>
      </c>
      <c r="B712" s="0" t="s">
        <v>36</v>
      </c>
      <c r="C712" s="0" t="s">
        <v>68</v>
      </c>
      <c r="D712" s="0" t="n">
        <v>41</v>
      </c>
      <c r="E712" s="0" t="n">
        <v>635847.6</v>
      </c>
    </row>
    <row r="713" customFormat="false" ht="15" hidden="false" customHeight="false" outlineLevel="0" collapsed="false">
      <c r="A713" s="0" t="s">
        <v>767</v>
      </c>
      <c r="B713" s="0" t="s">
        <v>36</v>
      </c>
      <c r="C713" s="0" t="s">
        <v>53</v>
      </c>
      <c r="D713" s="0" t="n">
        <v>70</v>
      </c>
      <c r="E713" s="0" t="n">
        <v>564262.52</v>
      </c>
    </row>
    <row r="714" customFormat="false" ht="15" hidden="false" customHeight="false" outlineLevel="0" collapsed="false">
      <c r="A714" s="0" t="s">
        <v>768</v>
      </c>
      <c r="B714" s="0" t="s">
        <v>36</v>
      </c>
      <c r="C714" s="0" t="s">
        <v>44</v>
      </c>
      <c r="D714" s="0" t="n">
        <v>19</v>
      </c>
      <c r="E714" s="0" t="n">
        <v>496855.99</v>
      </c>
    </row>
    <row r="715" customFormat="false" ht="15" hidden="false" customHeight="false" outlineLevel="0" collapsed="false">
      <c r="A715" s="0" t="s">
        <v>769</v>
      </c>
      <c r="B715" s="0" t="s">
        <v>49</v>
      </c>
      <c r="C715" s="0" t="s">
        <v>81</v>
      </c>
      <c r="D715" s="0" t="n">
        <v>75</v>
      </c>
      <c r="E715" s="0" t="n">
        <v>678648.82</v>
      </c>
    </row>
    <row r="716" customFormat="false" ht="15" hidden="false" customHeight="false" outlineLevel="0" collapsed="false">
      <c r="A716" s="0" t="s">
        <v>770</v>
      </c>
      <c r="B716" s="0" t="s">
        <v>36</v>
      </c>
      <c r="C716" s="0" t="s">
        <v>89</v>
      </c>
      <c r="D716" s="0" t="n">
        <v>23</v>
      </c>
      <c r="E716" s="0" t="n">
        <v>728213.82</v>
      </c>
    </row>
    <row r="717" customFormat="false" ht="15" hidden="false" customHeight="false" outlineLevel="0" collapsed="false">
      <c r="A717" s="0" t="s">
        <v>771</v>
      </c>
      <c r="B717" s="0" t="s">
        <v>36</v>
      </c>
      <c r="C717" s="0" t="s">
        <v>37</v>
      </c>
      <c r="D717" s="0" t="n">
        <v>70</v>
      </c>
      <c r="E717" s="0" t="n">
        <v>668421.76</v>
      </c>
    </row>
    <row r="718" customFormat="false" ht="15" hidden="false" customHeight="false" outlineLevel="0" collapsed="false">
      <c r="A718" s="0" t="s">
        <v>772</v>
      </c>
      <c r="B718" s="0" t="s">
        <v>49</v>
      </c>
      <c r="C718" s="0" t="s">
        <v>89</v>
      </c>
      <c r="D718" s="0" t="n">
        <v>83</v>
      </c>
      <c r="E718" s="0" t="n">
        <v>618889.88</v>
      </c>
    </row>
    <row r="719" customFormat="false" ht="15" hidden="false" customHeight="false" outlineLevel="0" collapsed="false">
      <c r="A719" s="0" t="s">
        <v>773</v>
      </c>
      <c r="B719" s="0" t="s">
        <v>49</v>
      </c>
      <c r="C719" s="0" t="s">
        <v>53</v>
      </c>
      <c r="D719" s="0" t="n">
        <v>51</v>
      </c>
      <c r="E719" s="0" t="n">
        <v>727251.67</v>
      </c>
    </row>
    <row r="720" customFormat="false" ht="15" hidden="false" customHeight="false" outlineLevel="0" collapsed="false">
      <c r="A720" s="0" t="s">
        <v>774</v>
      </c>
      <c r="B720" s="0" t="s">
        <v>36</v>
      </c>
      <c r="C720" s="0" t="s">
        <v>68</v>
      </c>
      <c r="D720" s="0" t="n">
        <v>15</v>
      </c>
      <c r="E720" s="0" t="n">
        <v>365855.16</v>
      </c>
    </row>
    <row r="721" customFormat="false" ht="15" hidden="false" customHeight="false" outlineLevel="0" collapsed="false">
      <c r="A721" s="0" t="s">
        <v>775</v>
      </c>
      <c r="B721" s="0" t="s">
        <v>40</v>
      </c>
      <c r="C721" s="0" t="s">
        <v>89</v>
      </c>
      <c r="D721" s="0" t="n">
        <v>47</v>
      </c>
      <c r="E721" s="0" t="n">
        <v>1110560.23</v>
      </c>
    </row>
    <row r="722" customFormat="false" ht="15" hidden="false" customHeight="false" outlineLevel="0" collapsed="false">
      <c r="A722" s="0" t="s">
        <v>776</v>
      </c>
      <c r="B722" s="0" t="s">
        <v>36</v>
      </c>
      <c r="C722" s="0" t="s">
        <v>41</v>
      </c>
      <c r="D722" s="0" t="n">
        <v>18</v>
      </c>
      <c r="E722" s="0" t="n">
        <v>624364.45</v>
      </c>
    </row>
    <row r="723" customFormat="false" ht="15" hidden="false" customHeight="false" outlineLevel="0" collapsed="false">
      <c r="A723" s="0" t="s">
        <v>777</v>
      </c>
      <c r="B723" s="0" t="s">
        <v>49</v>
      </c>
      <c r="C723" s="0" t="s">
        <v>81</v>
      </c>
      <c r="D723" s="0" t="n">
        <v>55</v>
      </c>
      <c r="E723" s="0" t="n">
        <v>1010289.84</v>
      </c>
    </row>
    <row r="724" customFormat="false" ht="15" hidden="false" customHeight="false" outlineLevel="0" collapsed="false">
      <c r="A724" s="0" t="s">
        <v>778</v>
      </c>
      <c r="B724" s="0" t="s">
        <v>49</v>
      </c>
      <c r="C724" s="0" t="s">
        <v>81</v>
      </c>
      <c r="D724" s="0" t="n">
        <v>71</v>
      </c>
      <c r="E724" s="0" t="n">
        <v>886736.67</v>
      </c>
    </row>
    <row r="725" customFormat="false" ht="15" hidden="false" customHeight="false" outlineLevel="0" collapsed="false">
      <c r="A725" s="0" t="s">
        <v>779</v>
      </c>
      <c r="B725" s="0" t="s">
        <v>49</v>
      </c>
      <c r="C725" s="0" t="s">
        <v>53</v>
      </c>
      <c r="D725" s="0" t="n">
        <v>50</v>
      </c>
      <c r="E725" s="0" t="n">
        <v>1107712.23</v>
      </c>
    </row>
    <row r="726" customFormat="false" ht="15" hidden="false" customHeight="false" outlineLevel="0" collapsed="false">
      <c r="A726" s="0" t="s">
        <v>780</v>
      </c>
      <c r="B726" s="0" t="s">
        <v>36</v>
      </c>
      <c r="C726" s="0" t="s">
        <v>81</v>
      </c>
      <c r="D726" s="0" t="n">
        <v>71</v>
      </c>
      <c r="E726" s="0" t="n">
        <v>686293.59</v>
      </c>
    </row>
    <row r="727" customFormat="false" ht="15" hidden="false" customHeight="false" outlineLevel="0" collapsed="false">
      <c r="A727" s="0" t="s">
        <v>781</v>
      </c>
      <c r="B727" s="0" t="s">
        <v>49</v>
      </c>
      <c r="C727" s="0" t="s">
        <v>37</v>
      </c>
      <c r="D727" s="0" t="n">
        <v>61</v>
      </c>
      <c r="E727" s="0" t="n">
        <v>464260.59</v>
      </c>
    </row>
    <row r="728" customFormat="false" ht="15" hidden="false" customHeight="false" outlineLevel="0" collapsed="false">
      <c r="A728" s="0" t="s">
        <v>782</v>
      </c>
      <c r="B728" s="0" t="s">
        <v>36</v>
      </c>
      <c r="C728" s="0" t="s">
        <v>81</v>
      </c>
      <c r="D728" s="0" t="n">
        <v>21</v>
      </c>
      <c r="E728" s="0" t="n">
        <v>767769.32</v>
      </c>
    </row>
    <row r="729" customFormat="false" ht="15" hidden="false" customHeight="false" outlineLevel="0" collapsed="false">
      <c r="A729" s="0" t="s">
        <v>783</v>
      </c>
      <c r="B729" s="0" t="s">
        <v>40</v>
      </c>
      <c r="C729" s="0" t="s">
        <v>81</v>
      </c>
      <c r="D729" s="0" t="n">
        <v>42</v>
      </c>
      <c r="E729" s="0" t="n">
        <v>1151961.72</v>
      </c>
    </row>
    <row r="730" customFormat="false" ht="15" hidden="false" customHeight="false" outlineLevel="0" collapsed="false">
      <c r="A730" s="0" t="s">
        <v>784</v>
      </c>
      <c r="B730" s="0" t="s">
        <v>40</v>
      </c>
      <c r="C730" s="0" t="s">
        <v>81</v>
      </c>
      <c r="D730" s="0" t="n">
        <v>27</v>
      </c>
      <c r="E730" s="0" t="n">
        <v>946709.13</v>
      </c>
    </row>
    <row r="731" customFormat="false" ht="15" hidden="false" customHeight="false" outlineLevel="0" collapsed="false">
      <c r="A731" s="0" t="s">
        <v>785</v>
      </c>
      <c r="B731" s="0" t="s">
        <v>36</v>
      </c>
      <c r="C731" s="0" t="s">
        <v>44</v>
      </c>
      <c r="D731" s="0" t="n">
        <v>60</v>
      </c>
      <c r="E731" s="0" t="n">
        <v>718810.06</v>
      </c>
    </row>
    <row r="732" customFormat="false" ht="15" hidden="false" customHeight="false" outlineLevel="0" collapsed="false">
      <c r="A732" s="0" t="s">
        <v>786</v>
      </c>
      <c r="B732" s="0" t="s">
        <v>36</v>
      </c>
      <c r="C732" s="0" t="s">
        <v>53</v>
      </c>
      <c r="D732" s="0" t="n">
        <v>22</v>
      </c>
      <c r="E732" s="0" t="n">
        <v>480426.41</v>
      </c>
    </row>
    <row r="733" customFormat="false" ht="15" hidden="false" customHeight="false" outlineLevel="0" collapsed="false">
      <c r="A733" s="0" t="s">
        <v>787</v>
      </c>
      <c r="B733" s="0" t="s">
        <v>36</v>
      </c>
      <c r="C733" s="0" t="s">
        <v>50</v>
      </c>
      <c r="D733" s="0" t="n">
        <v>77</v>
      </c>
      <c r="E733" s="0" t="n">
        <v>547439.43</v>
      </c>
    </row>
    <row r="734" customFormat="false" ht="15" hidden="false" customHeight="false" outlineLevel="0" collapsed="false">
      <c r="A734" s="0" t="s">
        <v>788</v>
      </c>
      <c r="B734" s="0" t="s">
        <v>36</v>
      </c>
      <c r="C734" s="0" t="s">
        <v>53</v>
      </c>
      <c r="D734" s="0" t="n">
        <v>45</v>
      </c>
      <c r="E734" s="0" t="n">
        <v>585711.24</v>
      </c>
    </row>
    <row r="735" customFormat="false" ht="15" hidden="false" customHeight="false" outlineLevel="0" collapsed="false">
      <c r="A735" s="0" t="s">
        <v>789</v>
      </c>
      <c r="B735" s="0" t="s">
        <v>49</v>
      </c>
      <c r="C735" s="0" t="s">
        <v>68</v>
      </c>
      <c r="D735" s="0" t="n">
        <v>7</v>
      </c>
      <c r="E735" s="0" t="n">
        <v>723895.82</v>
      </c>
    </row>
    <row r="736" customFormat="false" ht="15" hidden="false" customHeight="false" outlineLevel="0" collapsed="false">
      <c r="A736" s="0" t="s">
        <v>790</v>
      </c>
      <c r="B736" s="0" t="s">
        <v>40</v>
      </c>
      <c r="C736" s="0" t="s">
        <v>44</v>
      </c>
      <c r="D736" s="0" t="n">
        <v>15</v>
      </c>
      <c r="E736" s="0" t="n">
        <v>1808552.85</v>
      </c>
    </row>
    <row r="737" customFormat="false" ht="15" hidden="false" customHeight="false" outlineLevel="0" collapsed="false">
      <c r="A737" s="0" t="s">
        <v>791</v>
      </c>
      <c r="B737" s="0" t="s">
        <v>49</v>
      </c>
      <c r="C737" s="0" t="s">
        <v>68</v>
      </c>
      <c r="D737" s="0" t="n">
        <v>32</v>
      </c>
      <c r="E737" s="0" t="n">
        <v>1054110.66</v>
      </c>
    </row>
    <row r="738" customFormat="false" ht="15" hidden="false" customHeight="false" outlineLevel="0" collapsed="false">
      <c r="A738" s="0" t="s">
        <v>792</v>
      </c>
      <c r="B738" s="0" t="s">
        <v>36</v>
      </c>
      <c r="C738" s="0" t="s">
        <v>37</v>
      </c>
      <c r="D738" s="0" t="n">
        <v>89</v>
      </c>
      <c r="E738" s="0" t="n">
        <v>462601.55</v>
      </c>
    </row>
    <row r="739" customFormat="false" ht="15" hidden="false" customHeight="false" outlineLevel="0" collapsed="false">
      <c r="A739" s="0" t="s">
        <v>793</v>
      </c>
      <c r="B739" s="0" t="s">
        <v>40</v>
      </c>
      <c r="C739" s="0" t="s">
        <v>50</v>
      </c>
      <c r="D739" s="0" t="n">
        <v>15</v>
      </c>
      <c r="E739" s="0" t="n">
        <v>1700579.29</v>
      </c>
    </row>
    <row r="740" customFormat="false" ht="15" hidden="false" customHeight="false" outlineLevel="0" collapsed="false">
      <c r="A740" s="0" t="s">
        <v>794</v>
      </c>
      <c r="B740" s="0" t="s">
        <v>49</v>
      </c>
      <c r="C740" s="0" t="s">
        <v>81</v>
      </c>
      <c r="D740" s="0" t="n">
        <v>49</v>
      </c>
      <c r="E740" s="0" t="n">
        <v>376673.97</v>
      </c>
    </row>
    <row r="741" customFormat="false" ht="15" hidden="false" customHeight="false" outlineLevel="0" collapsed="false">
      <c r="A741" s="0" t="s">
        <v>795</v>
      </c>
      <c r="B741" s="0" t="s">
        <v>36</v>
      </c>
      <c r="C741" s="0" t="s">
        <v>41</v>
      </c>
      <c r="D741" s="0" t="n">
        <v>28</v>
      </c>
      <c r="E741" s="0" t="n">
        <v>553092.77</v>
      </c>
    </row>
    <row r="742" customFormat="false" ht="15" hidden="false" customHeight="false" outlineLevel="0" collapsed="false">
      <c r="A742" s="0" t="s">
        <v>796</v>
      </c>
      <c r="B742" s="0" t="s">
        <v>40</v>
      </c>
      <c r="C742" s="0" t="s">
        <v>76</v>
      </c>
      <c r="D742" s="0" t="n">
        <v>72</v>
      </c>
      <c r="E742" s="0" t="n">
        <v>1096651.51</v>
      </c>
    </row>
    <row r="743" customFormat="false" ht="15" hidden="false" customHeight="false" outlineLevel="0" collapsed="false">
      <c r="A743" s="0" t="s">
        <v>797</v>
      </c>
      <c r="B743" s="0" t="s">
        <v>40</v>
      </c>
      <c r="C743" s="0" t="s">
        <v>44</v>
      </c>
      <c r="D743" s="0" t="n">
        <v>8</v>
      </c>
      <c r="E743" s="0" t="n">
        <v>1771116.1</v>
      </c>
    </row>
    <row r="744" customFormat="false" ht="15" hidden="false" customHeight="false" outlineLevel="0" collapsed="false">
      <c r="A744" s="0" t="s">
        <v>798</v>
      </c>
      <c r="B744" s="0" t="s">
        <v>36</v>
      </c>
      <c r="C744" s="0" t="s">
        <v>44</v>
      </c>
      <c r="D744" s="0" t="n">
        <v>78</v>
      </c>
      <c r="E744" s="0" t="n">
        <v>528773.42</v>
      </c>
    </row>
    <row r="745" customFormat="false" ht="15" hidden="false" customHeight="false" outlineLevel="0" collapsed="false">
      <c r="A745" s="0" t="s">
        <v>799</v>
      </c>
      <c r="B745" s="0" t="s">
        <v>36</v>
      </c>
      <c r="C745" s="0" t="s">
        <v>89</v>
      </c>
      <c r="D745" s="0" t="n">
        <v>67</v>
      </c>
      <c r="E745" s="0" t="n">
        <v>492003.41</v>
      </c>
    </row>
    <row r="746" customFormat="false" ht="15" hidden="false" customHeight="false" outlineLevel="0" collapsed="false">
      <c r="A746" s="0" t="s">
        <v>800</v>
      </c>
      <c r="B746" s="0" t="s">
        <v>49</v>
      </c>
      <c r="C746" s="0" t="s">
        <v>44</v>
      </c>
      <c r="D746" s="0" t="n">
        <v>63</v>
      </c>
      <c r="E746" s="0" t="n">
        <v>460638.17</v>
      </c>
    </row>
    <row r="747" customFormat="false" ht="15" hidden="false" customHeight="false" outlineLevel="0" collapsed="false">
      <c r="A747" s="0" t="s">
        <v>801</v>
      </c>
      <c r="B747" s="0" t="s">
        <v>36</v>
      </c>
      <c r="C747" s="0" t="s">
        <v>44</v>
      </c>
      <c r="D747" s="0" t="n">
        <v>64</v>
      </c>
      <c r="E747" s="0" t="n">
        <v>522641.94</v>
      </c>
    </row>
    <row r="748" customFormat="false" ht="15" hidden="false" customHeight="false" outlineLevel="0" collapsed="false">
      <c r="A748" s="0" t="s">
        <v>802</v>
      </c>
      <c r="B748" s="0" t="s">
        <v>40</v>
      </c>
      <c r="C748" s="0" t="s">
        <v>37</v>
      </c>
      <c r="D748" s="0" t="n">
        <v>82</v>
      </c>
      <c r="E748" s="0" t="n">
        <v>1495780.39</v>
      </c>
    </row>
    <row r="749" customFormat="false" ht="15" hidden="false" customHeight="false" outlineLevel="0" collapsed="false">
      <c r="A749" s="0" t="s">
        <v>803</v>
      </c>
      <c r="B749" s="0" t="s">
        <v>49</v>
      </c>
      <c r="C749" s="0" t="s">
        <v>68</v>
      </c>
      <c r="D749" s="0" t="n">
        <v>18</v>
      </c>
      <c r="E749" s="0" t="n">
        <v>909676.85</v>
      </c>
    </row>
    <row r="750" customFormat="false" ht="15" hidden="false" customHeight="false" outlineLevel="0" collapsed="false">
      <c r="A750" s="0" t="s">
        <v>804</v>
      </c>
      <c r="B750" s="0" t="s">
        <v>49</v>
      </c>
      <c r="C750" s="0" t="s">
        <v>64</v>
      </c>
      <c r="D750" s="0" t="n">
        <v>38</v>
      </c>
      <c r="E750" s="0" t="n">
        <v>977996.7</v>
      </c>
    </row>
    <row r="751" customFormat="false" ht="15" hidden="false" customHeight="false" outlineLevel="0" collapsed="false">
      <c r="A751" s="0" t="s">
        <v>805</v>
      </c>
      <c r="B751" s="0" t="s">
        <v>40</v>
      </c>
      <c r="C751" s="0" t="s">
        <v>81</v>
      </c>
      <c r="D751" s="0" t="n">
        <v>59</v>
      </c>
      <c r="E751" s="0" t="n">
        <v>1432845.76</v>
      </c>
    </row>
    <row r="752" customFormat="false" ht="15" hidden="false" customHeight="false" outlineLevel="0" collapsed="false">
      <c r="A752" s="0" t="s">
        <v>806</v>
      </c>
      <c r="B752" s="0" t="s">
        <v>40</v>
      </c>
      <c r="C752" s="0" t="s">
        <v>89</v>
      </c>
      <c r="D752" s="0" t="n">
        <v>12</v>
      </c>
      <c r="E752" s="0" t="n">
        <v>2025941.03</v>
      </c>
    </row>
    <row r="753" customFormat="false" ht="15" hidden="false" customHeight="false" outlineLevel="0" collapsed="false">
      <c r="A753" s="0" t="s">
        <v>807</v>
      </c>
      <c r="B753" s="0" t="s">
        <v>49</v>
      </c>
      <c r="C753" s="0" t="s">
        <v>68</v>
      </c>
      <c r="D753" s="0" t="n">
        <v>13</v>
      </c>
      <c r="E753" s="0" t="n">
        <v>1283433.42</v>
      </c>
    </row>
    <row r="754" customFormat="false" ht="15" hidden="false" customHeight="false" outlineLevel="0" collapsed="false">
      <c r="A754" s="0" t="s">
        <v>808</v>
      </c>
      <c r="B754" s="0" t="s">
        <v>40</v>
      </c>
      <c r="C754" s="0" t="s">
        <v>53</v>
      </c>
      <c r="D754" s="0" t="n">
        <v>66</v>
      </c>
      <c r="E754" s="0" t="n">
        <v>1832568.48</v>
      </c>
    </row>
    <row r="755" customFormat="false" ht="15" hidden="false" customHeight="false" outlineLevel="0" collapsed="false">
      <c r="A755" s="0" t="s">
        <v>809</v>
      </c>
      <c r="B755" s="0" t="s">
        <v>36</v>
      </c>
      <c r="C755" s="0" t="s">
        <v>44</v>
      </c>
      <c r="D755" s="0" t="n">
        <v>39</v>
      </c>
      <c r="E755" s="0" t="n">
        <v>365101.08</v>
      </c>
    </row>
    <row r="756" customFormat="false" ht="15" hidden="false" customHeight="false" outlineLevel="0" collapsed="false">
      <c r="A756" s="0" t="s">
        <v>810</v>
      </c>
      <c r="B756" s="0" t="s">
        <v>36</v>
      </c>
      <c r="C756" s="0" t="s">
        <v>81</v>
      </c>
      <c r="D756" s="0" t="n">
        <v>37</v>
      </c>
      <c r="E756" s="0" t="n">
        <v>354292.12</v>
      </c>
    </row>
    <row r="757" customFormat="false" ht="15" hidden="false" customHeight="false" outlineLevel="0" collapsed="false">
      <c r="A757" s="0" t="s">
        <v>811</v>
      </c>
      <c r="B757" s="0" t="s">
        <v>36</v>
      </c>
      <c r="C757" s="0" t="s">
        <v>81</v>
      </c>
      <c r="D757" s="0" t="n">
        <v>50</v>
      </c>
      <c r="E757" s="0" t="n">
        <v>671593.16</v>
      </c>
    </row>
    <row r="758" customFormat="false" ht="15" hidden="false" customHeight="false" outlineLevel="0" collapsed="false">
      <c r="A758" s="0" t="s">
        <v>812</v>
      </c>
      <c r="B758" s="0" t="s">
        <v>66</v>
      </c>
      <c r="C758" s="0" t="s">
        <v>44</v>
      </c>
      <c r="D758" s="0" t="n">
        <v>64</v>
      </c>
      <c r="E758" s="0" t="n">
        <v>2432481.83</v>
      </c>
    </row>
    <row r="759" customFormat="false" ht="15" hidden="false" customHeight="false" outlineLevel="0" collapsed="false">
      <c r="A759" s="0" t="s">
        <v>813</v>
      </c>
      <c r="B759" s="0" t="s">
        <v>36</v>
      </c>
      <c r="C759" s="0" t="s">
        <v>64</v>
      </c>
      <c r="D759" s="0" t="n">
        <v>63</v>
      </c>
      <c r="E759" s="0" t="n">
        <v>596084.41</v>
      </c>
    </row>
    <row r="760" customFormat="false" ht="15" hidden="false" customHeight="false" outlineLevel="0" collapsed="false">
      <c r="A760" s="0" t="s">
        <v>814</v>
      </c>
      <c r="B760" s="0" t="s">
        <v>49</v>
      </c>
      <c r="C760" s="0" t="s">
        <v>44</v>
      </c>
      <c r="D760" s="0" t="n">
        <v>50</v>
      </c>
      <c r="E760" s="0" t="n">
        <v>912188.23</v>
      </c>
    </row>
    <row r="761" customFormat="false" ht="15" hidden="false" customHeight="false" outlineLevel="0" collapsed="false">
      <c r="A761" s="0" t="s">
        <v>815</v>
      </c>
      <c r="B761" s="0" t="s">
        <v>49</v>
      </c>
      <c r="C761" s="0" t="s">
        <v>37</v>
      </c>
      <c r="D761" s="0" t="n">
        <v>8</v>
      </c>
      <c r="E761" s="0" t="n">
        <v>1099322.07</v>
      </c>
    </row>
    <row r="762" customFormat="false" ht="15" hidden="false" customHeight="false" outlineLevel="0" collapsed="false">
      <c r="A762" s="0" t="s">
        <v>816</v>
      </c>
      <c r="B762" s="0" t="s">
        <v>36</v>
      </c>
      <c r="C762" s="0" t="s">
        <v>44</v>
      </c>
      <c r="D762" s="0" t="n">
        <v>88</v>
      </c>
      <c r="E762" s="0" t="n">
        <v>482750.67</v>
      </c>
    </row>
    <row r="763" customFormat="false" ht="15" hidden="false" customHeight="false" outlineLevel="0" collapsed="false">
      <c r="A763" s="0" t="s">
        <v>817</v>
      </c>
      <c r="B763" s="0" t="s">
        <v>49</v>
      </c>
      <c r="C763" s="0" t="s">
        <v>53</v>
      </c>
      <c r="D763" s="0" t="n">
        <v>89</v>
      </c>
      <c r="E763" s="0" t="n">
        <v>1226692.76</v>
      </c>
    </row>
    <row r="764" customFormat="false" ht="15" hidden="false" customHeight="false" outlineLevel="0" collapsed="false">
      <c r="A764" s="0" t="s">
        <v>818</v>
      </c>
      <c r="B764" s="0" t="s">
        <v>36</v>
      </c>
      <c r="C764" s="0" t="s">
        <v>81</v>
      </c>
      <c r="D764" s="0" t="n">
        <v>37</v>
      </c>
      <c r="E764" s="0" t="n">
        <v>401994.85</v>
      </c>
    </row>
    <row r="765" customFormat="false" ht="15" hidden="false" customHeight="false" outlineLevel="0" collapsed="false">
      <c r="A765" s="0" t="s">
        <v>819</v>
      </c>
      <c r="B765" s="0" t="s">
        <v>49</v>
      </c>
      <c r="C765" s="0" t="s">
        <v>53</v>
      </c>
      <c r="D765" s="0" t="n">
        <v>77</v>
      </c>
      <c r="E765" s="0" t="n">
        <v>486560.56</v>
      </c>
    </row>
    <row r="766" customFormat="false" ht="15" hidden="false" customHeight="false" outlineLevel="0" collapsed="false">
      <c r="A766" s="0" t="s">
        <v>820</v>
      </c>
      <c r="B766" s="0" t="s">
        <v>36</v>
      </c>
      <c r="C766" s="0" t="s">
        <v>68</v>
      </c>
      <c r="D766" s="0" t="n">
        <v>83</v>
      </c>
      <c r="E766" s="0" t="n">
        <v>368397.68</v>
      </c>
    </row>
    <row r="767" customFormat="false" ht="15" hidden="false" customHeight="false" outlineLevel="0" collapsed="false">
      <c r="A767" s="0" t="s">
        <v>821</v>
      </c>
      <c r="B767" s="0" t="s">
        <v>36</v>
      </c>
      <c r="C767" s="0" t="s">
        <v>50</v>
      </c>
      <c r="D767" s="0" t="n">
        <v>94</v>
      </c>
      <c r="E767" s="0" t="n">
        <v>435097.24</v>
      </c>
    </row>
    <row r="768" customFormat="false" ht="15" hidden="false" customHeight="false" outlineLevel="0" collapsed="false">
      <c r="A768" s="0" t="s">
        <v>822</v>
      </c>
      <c r="B768" s="0" t="s">
        <v>36</v>
      </c>
      <c r="C768" s="0" t="s">
        <v>81</v>
      </c>
      <c r="D768" s="0" t="n">
        <v>82</v>
      </c>
      <c r="E768" s="0" t="n">
        <v>509516.3</v>
      </c>
    </row>
    <row r="769" customFormat="false" ht="15" hidden="false" customHeight="false" outlineLevel="0" collapsed="false">
      <c r="A769" s="0" t="s">
        <v>823</v>
      </c>
      <c r="B769" s="0" t="s">
        <v>49</v>
      </c>
      <c r="C769" s="0" t="s">
        <v>64</v>
      </c>
      <c r="D769" s="0" t="n">
        <v>79</v>
      </c>
      <c r="E769" s="0" t="n">
        <v>648486.5</v>
      </c>
    </row>
    <row r="770" customFormat="false" ht="15" hidden="false" customHeight="false" outlineLevel="0" collapsed="false">
      <c r="A770" s="0" t="s">
        <v>824</v>
      </c>
      <c r="B770" s="0" t="s">
        <v>40</v>
      </c>
      <c r="C770" s="0" t="s">
        <v>53</v>
      </c>
      <c r="D770" s="0" t="n">
        <v>25</v>
      </c>
      <c r="E770" s="0" t="n">
        <v>1948529.06</v>
      </c>
    </row>
    <row r="771" customFormat="false" ht="15" hidden="false" customHeight="false" outlineLevel="0" collapsed="false">
      <c r="A771" s="0" t="s">
        <v>825</v>
      </c>
      <c r="B771" s="0" t="s">
        <v>36</v>
      </c>
      <c r="C771" s="0" t="s">
        <v>44</v>
      </c>
      <c r="D771" s="0" t="n">
        <v>38</v>
      </c>
      <c r="E771" s="0" t="n">
        <v>452115.47</v>
      </c>
    </row>
    <row r="772" customFormat="false" ht="15" hidden="false" customHeight="false" outlineLevel="0" collapsed="false">
      <c r="A772" s="0" t="s">
        <v>826</v>
      </c>
      <c r="B772" s="0" t="s">
        <v>40</v>
      </c>
      <c r="C772" s="0" t="s">
        <v>81</v>
      </c>
      <c r="D772" s="0" t="n">
        <v>12</v>
      </c>
      <c r="E772" s="0" t="n">
        <v>1746761.7</v>
      </c>
    </row>
    <row r="773" customFormat="false" ht="15" hidden="false" customHeight="false" outlineLevel="0" collapsed="false">
      <c r="A773" s="0" t="s">
        <v>827</v>
      </c>
      <c r="B773" s="0" t="s">
        <v>36</v>
      </c>
      <c r="C773" s="0" t="s">
        <v>44</v>
      </c>
      <c r="D773" s="0" t="n">
        <v>75</v>
      </c>
      <c r="E773" s="0" t="n">
        <v>504504.1</v>
      </c>
    </row>
    <row r="774" customFormat="false" ht="15" hidden="false" customHeight="false" outlineLevel="0" collapsed="false">
      <c r="A774" s="0" t="s">
        <v>828</v>
      </c>
      <c r="B774" s="0" t="s">
        <v>49</v>
      </c>
      <c r="C774" s="0" t="s">
        <v>53</v>
      </c>
      <c r="D774" s="0" t="n">
        <v>87</v>
      </c>
      <c r="E774" s="0" t="n">
        <v>962205.51</v>
      </c>
    </row>
    <row r="775" customFormat="false" ht="15" hidden="false" customHeight="false" outlineLevel="0" collapsed="false">
      <c r="A775" s="0" t="s">
        <v>829</v>
      </c>
      <c r="B775" s="0" t="s">
        <v>40</v>
      </c>
      <c r="C775" s="0" t="s">
        <v>81</v>
      </c>
      <c r="D775" s="0" t="n">
        <v>82</v>
      </c>
      <c r="E775" s="0" t="n">
        <v>2237520.75</v>
      </c>
    </row>
    <row r="776" customFormat="false" ht="15" hidden="false" customHeight="false" outlineLevel="0" collapsed="false">
      <c r="A776" s="0" t="s">
        <v>830</v>
      </c>
      <c r="B776" s="0" t="s">
        <v>49</v>
      </c>
      <c r="C776" s="0" t="s">
        <v>50</v>
      </c>
      <c r="D776" s="0" t="n">
        <v>87</v>
      </c>
      <c r="E776" s="0" t="n">
        <v>820444.14</v>
      </c>
    </row>
    <row r="777" customFormat="false" ht="15" hidden="false" customHeight="false" outlineLevel="0" collapsed="false">
      <c r="A777" s="0" t="s">
        <v>831</v>
      </c>
      <c r="B777" s="0" t="s">
        <v>40</v>
      </c>
      <c r="C777" s="0" t="s">
        <v>44</v>
      </c>
      <c r="D777" s="0" t="n">
        <v>39</v>
      </c>
      <c r="E777" s="0" t="n">
        <v>1936450.58</v>
      </c>
    </row>
    <row r="778" customFormat="false" ht="15" hidden="false" customHeight="false" outlineLevel="0" collapsed="false">
      <c r="A778" s="0" t="s">
        <v>832</v>
      </c>
      <c r="B778" s="0" t="s">
        <v>36</v>
      </c>
      <c r="C778" s="0" t="s">
        <v>68</v>
      </c>
      <c r="D778" s="0" t="n">
        <v>31</v>
      </c>
      <c r="E778" s="0" t="n">
        <v>608270.43</v>
      </c>
    </row>
    <row r="779" customFormat="false" ht="15" hidden="false" customHeight="false" outlineLevel="0" collapsed="false">
      <c r="A779" s="0" t="s">
        <v>833</v>
      </c>
      <c r="B779" s="0" t="s">
        <v>40</v>
      </c>
      <c r="C779" s="0" t="s">
        <v>68</v>
      </c>
      <c r="D779" s="0" t="n">
        <v>11</v>
      </c>
      <c r="E779" s="0" t="n">
        <v>1101447.29</v>
      </c>
    </row>
    <row r="780" customFormat="false" ht="15" hidden="false" customHeight="false" outlineLevel="0" collapsed="false">
      <c r="A780" s="0" t="s">
        <v>834</v>
      </c>
      <c r="B780" s="0" t="s">
        <v>36</v>
      </c>
      <c r="C780" s="0" t="s">
        <v>53</v>
      </c>
      <c r="D780" s="0" t="n">
        <v>91</v>
      </c>
      <c r="E780" s="0" t="n">
        <v>613651.6</v>
      </c>
    </row>
    <row r="781" customFormat="false" ht="15" hidden="false" customHeight="false" outlineLevel="0" collapsed="false">
      <c r="A781" s="0" t="s">
        <v>835</v>
      </c>
      <c r="B781" s="0" t="s">
        <v>36</v>
      </c>
      <c r="C781" s="0" t="s">
        <v>53</v>
      </c>
      <c r="D781" s="0" t="n">
        <v>16</v>
      </c>
      <c r="E781" s="0" t="n">
        <v>345164.77</v>
      </c>
    </row>
    <row r="782" customFormat="false" ht="15" hidden="false" customHeight="false" outlineLevel="0" collapsed="false">
      <c r="A782" s="0" t="s">
        <v>836</v>
      </c>
      <c r="B782" s="0" t="s">
        <v>36</v>
      </c>
      <c r="C782" s="0" t="s">
        <v>37</v>
      </c>
      <c r="D782" s="0" t="n">
        <v>75</v>
      </c>
      <c r="E782" s="0" t="n">
        <v>388690.23</v>
      </c>
    </row>
    <row r="783" customFormat="false" ht="15" hidden="false" customHeight="false" outlineLevel="0" collapsed="false">
      <c r="A783" s="0" t="s">
        <v>837</v>
      </c>
      <c r="B783" s="0" t="s">
        <v>49</v>
      </c>
      <c r="C783" s="0" t="s">
        <v>44</v>
      </c>
      <c r="D783" s="0" t="n">
        <v>78</v>
      </c>
      <c r="E783" s="0" t="n">
        <v>721048.33</v>
      </c>
    </row>
    <row r="784" customFormat="false" ht="15" hidden="false" customHeight="false" outlineLevel="0" collapsed="false">
      <c r="A784" s="0" t="s">
        <v>838</v>
      </c>
      <c r="B784" s="0" t="s">
        <v>36</v>
      </c>
      <c r="C784" s="0" t="s">
        <v>44</v>
      </c>
      <c r="D784" s="0" t="n">
        <v>36</v>
      </c>
      <c r="E784" s="0" t="n">
        <v>718638.38</v>
      </c>
    </row>
    <row r="785" customFormat="false" ht="15" hidden="false" customHeight="false" outlineLevel="0" collapsed="false">
      <c r="A785" s="0" t="s">
        <v>839</v>
      </c>
      <c r="B785" s="0" t="s">
        <v>49</v>
      </c>
      <c r="C785" s="0" t="s">
        <v>50</v>
      </c>
      <c r="D785" s="0" t="n">
        <v>25</v>
      </c>
      <c r="E785" s="0" t="n">
        <v>999451.1</v>
      </c>
    </row>
    <row r="786" customFormat="false" ht="15" hidden="false" customHeight="false" outlineLevel="0" collapsed="false">
      <c r="A786" s="0" t="s">
        <v>840</v>
      </c>
      <c r="B786" s="0" t="s">
        <v>49</v>
      </c>
      <c r="C786" s="0" t="s">
        <v>41</v>
      </c>
      <c r="D786" s="0" t="n">
        <v>36</v>
      </c>
      <c r="E786" s="0" t="n">
        <v>789582.59</v>
      </c>
    </row>
    <row r="787" customFormat="false" ht="15" hidden="false" customHeight="false" outlineLevel="0" collapsed="false">
      <c r="A787" s="0" t="s">
        <v>841</v>
      </c>
      <c r="B787" s="0" t="s">
        <v>36</v>
      </c>
      <c r="C787" s="0" t="s">
        <v>64</v>
      </c>
      <c r="D787" s="0" t="n">
        <v>66</v>
      </c>
      <c r="E787" s="0" t="n">
        <v>475864.45</v>
      </c>
    </row>
    <row r="788" customFormat="false" ht="15" hidden="false" customHeight="false" outlineLevel="0" collapsed="false">
      <c r="A788" s="0" t="s">
        <v>842</v>
      </c>
      <c r="B788" s="0" t="s">
        <v>49</v>
      </c>
      <c r="C788" s="0" t="s">
        <v>44</v>
      </c>
      <c r="D788" s="0" t="n">
        <v>59</v>
      </c>
      <c r="E788" s="0" t="n">
        <v>603926.39</v>
      </c>
    </row>
    <row r="789" customFormat="false" ht="15" hidden="false" customHeight="false" outlineLevel="0" collapsed="false">
      <c r="A789" s="0" t="s">
        <v>843</v>
      </c>
      <c r="B789" s="0" t="s">
        <v>36</v>
      </c>
      <c r="C789" s="0" t="s">
        <v>53</v>
      </c>
      <c r="D789" s="0" t="n">
        <v>87</v>
      </c>
      <c r="E789" s="0" t="n">
        <v>508447.74</v>
      </c>
    </row>
    <row r="790" customFormat="false" ht="15" hidden="false" customHeight="false" outlineLevel="0" collapsed="false">
      <c r="A790" s="0" t="s">
        <v>844</v>
      </c>
      <c r="B790" s="0" t="s">
        <v>49</v>
      </c>
      <c r="C790" s="0" t="s">
        <v>53</v>
      </c>
      <c r="D790" s="0" t="n">
        <v>89</v>
      </c>
      <c r="E790" s="0" t="n">
        <v>1005020.08</v>
      </c>
    </row>
    <row r="791" customFormat="false" ht="15" hidden="false" customHeight="false" outlineLevel="0" collapsed="false">
      <c r="A791" s="0" t="s">
        <v>845</v>
      </c>
      <c r="B791" s="0" t="s">
        <v>66</v>
      </c>
      <c r="C791" s="0" t="s">
        <v>44</v>
      </c>
      <c r="D791" s="0" t="n">
        <v>54</v>
      </c>
      <c r="E791" s="0" t="n">
        <v>2374257.75</v>
      </c>
    </row>
    <row r="792" customFormat="false" ht="15" hidden="false" customHeight="false" outlineLevel="0" collapsed="false">
      <c r="A792" s="0" t="s">
        <v>846</v>
      </c>
      <c r="B792" s="0" t="s">
        <v>36</v>
      </c>
      <c r="C792" s="0" t="s">
        <v>53</v>
      </c>
      <c r="D792" s="0" t="n">
        <v>33</v>
      </c>
      <c r="E792" s="0" t="n">
        <v>769685.88</v>
      </c>
    </row>
    <row r="793" customFormat="false" ht="15" hidden="false" customHeight="false" outlineLevel="0" collapsed="false">
      <c r="A793" s="0" t="s">
        <v>847</v>
      </c>
      <c r="B793" s="0" t="s">
        <v>40</v>
      </c>
      <c r="C793" s="0" t="s">
        <v>44</v>
      </c>
      <c r="D793" s="0" t="n">
        <v>84</v>
      </c>
      <c r="E793" s="0" t="n">
        <v>1721689.18</v>
      </c>
    </row>
    <row r="794" customFormat="false" ht="15" hidden="false" customHeight="false" outlineLevel="0" collapsed="false">
      <c r="A794" s="0" t="s">
        <v>848</v>
      </c>
      <c r="B794" s="0" t="s">
        <v>36</v>
      </c>
      <c r="C794" s="0" t="s">
        <v>64</v>
      </c>
      <c r="D794" s="0" t="n">
        <v>72</v>
      </c>
      <c r="E794" s="0" t="n">
        <v>482650.34</v>
      </c>
    </row>
    <row r="795" customFormat="false" ht="15" hidden="false" customHeight="false" outlineLevel="0" collapsed="false">
      <c r="A795" s="0" t="s">
        <v>849</v>
      </c>
      <c r="B795" s="0" t="s">
        <v>36</v>
      </c>
      <c r="C795" s="0" t="s">
        <v>64</v>
      </c>
      <c r="D795" s="0" t="n">
        <v>35</v>
      </c>
      <c r="E795" s="0" t="n">
        <v>400877.52</v>
      </c>
    </row>
    <row r="796" customFormat="false" ht="15" hidden="false" customHeight="false" outlineLevel="0" collapsed="false">
      <c r="A796" s="0" t="s">
        <v>850</v>
      </c>
      <c r="B796" s="0" t="s">
        <v>49</v>
      </c>
      <c r="C796" s="0" t="s">
        <v>50</v>
      </c>
      <c r="D796" s="0" t="n">
        <v>34</v>
      </c>
      <c r="E796" s="0" t="n">
        <v>990992.15</v>
      </c>
    </row>
    <row r="797" customFormat="false" ht="15" hidden="false" customHeight="false" outlineLevel="0" collapsed="false">
      <c r="A797" s="0" t="s">
        <v>851</v>
      </c>
      <c r="B797" s="0" t="s">
        <v>40</v>
      </c>
      <c r="C797" s="0" t="s">
        <v>64</v>
      </c>
      <c r="D797" s="0" t="n">
        <v>71</v>
      </c>
      <c r="E797" s="0" t="n">
        <v>2015083.11</v>
      </c>
    </row>
    <row r="798" customFormat="false" ht="15" hidden="false" customHeight="false" outlineLevel="0" collapsed="false">
      <c r="A798" s="0" t="s">
        <v>852</v>
      </c>
      <c r="B798" s="0" t="s">
        <v>40</v>
      </c>
      <c r="C798" s="0" t="s">
        <v>64</v>
      </c>
      <c r="D798" s="0" t="n">
        <v>40</v>
      </c>
      <c r="E798" s="0" t="n">
        <v>1843327.78</v>
      </c>
    </row>
    <row r="799" customFormat="false" ht="15" hidden="false" customHeight="false" outlineLevel="0" collapsed="false">
      <c r="A799" s="0" t="s">
        <v>853</v>
      </c>
      <c r="B799" s="0" t="s">
        <v>49</v>
      </c>
      <c r="C799" s="0" t="s">
        <v>68</v>
      </c>
      <c r="D799" s="0" t="n">
        <v>72</v>
      </c>
      <c r="E799" s="0" t="n">
        <v>630633.41</v>
      </c>
    </row>
    <row r="800" customFormat="false" ht="15" hidden="false" customHeight="false" outlineLevel="0" collapsed="false">
      <c r="A800" s="0" t="s">
        <v>854</v>
      </c>
      <c r="B800" s="0" t="s">
        <v>36</v>
      </c>
      <c r="C800" s="0" t="s">
        <v>44</v>
      </c>
      <c r="D800" s="0" t="n">
        <v>47</v>
      </c>
      <c r="E800" s="0" t="n">
        <v>630036.5</v>
      </c>
    </row>
    <row r="801" customFormat="false" ht="15" hidden="false" customHeight="false" outlineLevel="0" collapsed="false">
      <c r="A801" s="0" t="s">
        <v>855</v>
      </c>
      <c r="B801" s="0" t="s">
        <v>66</v>
      </c>
      <c r="C801" s="0" t="s">
        <v>68</v>
      </c>
      <c r="D801" s="0" t="n">
        <v>86</v>
      </c>
      <c r="E801" s="0" t="n">
        <v>1936229.59</v>
      </c>
    </row>
    <row r="802" customFormat="false" ht="15" hidden="false" customHeight="false" outlineLevel="0" collapsed="false">
      <c r="A802" s="0" t="s">
        <v>856</v>
      </c>
      <c r="B802" s="0" t="s">
        <v>49</v>
      </c>
      <c r="C802" s="0" t="s">
        <v>44</v>
      </c>
      <c r="D802" s="0" t="n">
        <v>14</v>
      </c>
      <c r="E802" s="0" t="n">
        <v>444506.93</v>
      </c>
    </row>
    <row r="803" customFormat="false" ht="15" hidden="false" customHeight="false" outlineLevel="0" collapsed="false">
      <c r="A803" s="0" t="s">
        <v>857</v>
      </c>
      <c r="B803" s="0" t="s">
        <v>36</v>
      </c>
      <c r="C803" s="0" t="s">
        <v>53</v>
      </c>
      <c r="D803" s="0" t="n">
        <v>81</v>
      </c>
      <c r="E803" s="0" t="n">
        <v>571620.14</v>
      </c>
    </row>
    <row r="804" customFormat="false" ht="15" hidden="false" customHeight="false" outlineLevel="0" collapsed="false">
      <c r="A804" s="0" t="s">
        <v>858</v>
      </c>
      <c r="B804" s="0" t="s">
        <v>36</v>
      </c>
      <c r="C804" s="0" t="s">
        <v>68</v>
      </c>
      <c r="D804" s="0" t="n">
        <v>71</v>
      </c>
      <c r="E804" s="0" t="n">
        <v>362938.46</v>
      </c>
    </row>
    <row r="805" customFormat="false" ht="15" hidden="false" customHeight="false" outlineLevel="0" collapsed="false">
      <c r="A805" s="0" t="s">
        <v>859</v>
      </c>
      <c r="B805" s="0" t="s">
        <v>66</v>
      </c>
      <c r="C805" s="0" t="s">
        <v>81</v>
      </c>
      <c r="D805" s="0" t="n">
        <v>86</v>
      </c>
      <c r="E805" s="0" t="n">
        <v>2806774.66</v>
      </c>
    </row>
    <row r="806" customFormat="false" ht="15" hidden="false" customHeight="false" outlineLevel="0" collapsed="false">
      <c r="A806" s="0" t="s">
        <v>860</v>
      </c>
      <c r="B806" s="0" t="s">
        <v>36</v>
      </c>
      <c r="C806" s="0" t="s">
        <v>50</v>
      </c>
      <c r="D806" s="0" t="n">
        <v>39</v>
      </c>
      <c r="E806" s="0" t="n">
        <v>577125.05</v>
      </c>
    </row>
    <row r="807" customFormat="false" ht="15" hidden="false" customHeight="false" outlineLevel="0" collapsed="false">
      <c r="A807" s="0" t="s">
        <v>861</v>
      </c>
      <c r="B807" s="0" t="s">
        <v>40</v>
      </c>
      <c r="C807" s="0" t="s">
        <v>64</v>
      </c>
      <c r="D807" s="0" t="n">
        <v>81</v>
      </c>
      <c r="E807" s="0" t="n">
        <v>947701.5</v>
      </c>
    </row>
    <row r="808" customFormat="false" ht="15" hidden="false" customHeight="false" outlineLevel="0" collapsed="false">
      <c r="A808" s="0" t="s">
        <v>862</v>
      </c>
      <c r="B808" s="0" t="s">
        <v>36</v>
      </c>
      <c r="C808" s="0" t="s">
        <v>53</v>
      </c>
      <c r="D808" s="0" t="n">
        <v>52</v>
      </c>
      <c r="E808" s="0" t="n">
        <v>684078.41</v>
      </c>
    </row>
    <row r="809" customFormat="false" ht="15" hidden="false" customHeight="false" outlineLevel="0" collapsed="false">
      <c r="A809" s="0" t="s">
        <v>863</v>
      </c>
      <c r="B809" s="0" t="s">
        <v>36</v>
      </c>
      <c r="C809" s="0" t="s">
        <v>44</v>
      </c>
      <c r="D809" s="0" t="n">
        <v>82</v>
      </c>
      <c r="E809" s="0" t="n">
        <v>388669.89</v>
      </c>
    </row>
    <row r="810" customFormat="false" ht="15" hidden="false" customHeight="false" outlineLevel="0" collapsed="false">
      <c r="A810" s="0" t="s">
        <v>864</v>
      </c>
      <c r="B810" s="0" t="s">
        <v>36</v>
      </c>
      <c r="C810" s="0" t="s">
        <v>37</v>
      </c>
      <c r="D810" s="0" t="n">
        <v>89</v>
      </c>
      <c r="E810" s="0" t="n">
        <v>556043.07</v>
      </c>
    </row>
    <row r="811" customFormat="false" ht="15" hidden="false" customHeight="false" outlineLevel="0" collapsed="false">
      <c r="A811" s="0" t="s">
        <v>865</v>
      </c>
      <c r="B811" s="0" t="s">
        <v>36</v>
      </c>
      <c r="C811" s="0" t="s">
        <v>53</v>
      </c>
      <c r="D811" s="0" t="n">
        <v>52</v>
      </c>
      <c r="E811" s="0" t="n">
        <v>484370.69</v>
      </c>
    </row>
    <row r="812" customFormat="false" ht="15" hidden="false" customHeight="false" outlineLevel="0" collapsed="false">
      <c r="A812" s="0" t="s">
        <v>866</v>
      </c>
      <c r="B812" s="0" t="s">
        <v>49</v>
      </c>
      <c r="C812" s="0" t="s">
        <v>53</v>
      </c>
      <c r="D812" s="0" t="n">
        <v>60</v>
      </c>
      <c r="E812" s="0" t="n">
        <v>846686.14</v>
      </c>
    </row>
    <row r="813" customFormat="false" ht="15" hidden="false" customHeight="false" outlineLevel="0" collapsed="false">
      <c r="A813" s="0" t="s">
        <v>867</v>
      </c>
      <c r="B813" s="0" t="s">
        <v>49</v>
      </c>
      <c r="C813" s="0" t="s">
        <v>76</v>
      </c>
      <c r="D813" s="0" t="n">
        <v>65</v>
      </c>
      <c r="E813" s="0" t="n">
        <v>1192106.27</v>
      </c>
    </row>
    <row r="814" customFormat="false" ht="15" hidden="false" customHeight="false" outlineLevel="0" collapsed="false">
      <c r="A814" s="0" t="s">
        <v>868</v>
      </c>
      <c r="B814" s="0" t="s">
        <v>49</v>
      </c>
      <c r="C814" s="0" t="s">
        <v>64</v>
      </c>
      <c r="D814" s="0" t="n">
        <v>34</v>
      </c>
      <c r="E814" s="0" t="n">
        <v>781847.77</v>
      </c>
    </row>
    <row r="815" customFormat="false" ht="15" hidden="false" customHeight="false" outlineLevel="0" collapsed="false">
      <c r="A815" s="0" t="s">
        <v>869</v>
      </c>
      <c r="B815" s="0" t="s">
        <v>36</v>
      </c>
      <c r="C815" s="0" t="s">
        <v>50</v>
      </c>
      <c r="D815" s="0" t="n">
        <v>64</v>
      </c>
      <c r="E815" s="0" t="n">
        <v>453542.26</v>
      </c>
    </row>
    <row r="816" customFormat="false" ht="15" hidden="false" customHeight="false" outlineLevel="0" collapsed="false">
      <c r="A816" s="0" t="s">
        <v>870</v>
      </c>
      <c r="B816" s="0" t="s">
        <v>36</v>
      </c>
      <c r="C816" s="0" t="s">
        <v>81</v>
      </c>
      <c r="D816" s="0" t="n">
        <v>89</v>
      </c>
      <c r="E816" s="0" t="n">
        <v>531856.55</v>
      </c>
    </row>
    <row r="817" customFormat="false" ht="15" hidden="false" customHeight="false" outlineLevel="0" collapsed="false">
      <c r="A817" s="0" t="s">
        <v>871</v>
      </c>
      <c r="B817" s="0" t="s">
        <v>49</v>
      </c>
      <c r="C817" s="0" t="s">
        <v>44</v>
      </c>
      <c r="D817" s="0" t="n">
        <v>34</v>
      </c>
      <c r="E817" s="0" t="n">
        <v>570211.74</v>
      </c>
    </row>
    <row r="818" customFormat="false" ht="15" hidden="false" customHeight="false" outlineLevel="0" collapsed="false">
      <c r="A818" s="0" t="s">
        <v>872</v>
      </c>
      <c r="B818" s="0" t="s">
        <v>36</v>
      </c>
      <c r="C818" s="0" t="s">
        <v>81</v>
      </c>
      <c r="D818" s="0" t="n">
        <v>48</v>
      </c>
      <c r="E818" s="0" t="n">
        <v>511728.84</v>
      </c>
    </row>
    <row r="819" customFormat="false" ht="15" hidden="false" customHeight="false" outlineLevel="0" collapsed="false">
      <c r="A819" s="0" t="s">
        <v>873</v>
      </c>
      <c r="B819" s="0" t="s">
        <v>66</v>
      </c>
      <c r="C819" s="0" t="s">
        <v>81</v>
      </c>
      <c r="D819" s="0" t="n">
        <v>42</v>
      </c>
      <c r="E819" s="0" t="n">
        <v>2592841.75</v>
      </c>
    </row>
    <row r="820" customFormat="false" ht="15" hidden="false" customHeight="false" outlineLevel="0" collapsed="false">
      <c r="A820" s="0" t="s">
        <v>874</v>
      </c>
      <c r="B820" s="0" t="s">
        <v>36</v>
      </c>
      <c r="C820" s="0" t="s">
        <v>89</v>
      </c>
      <c r="D820" s="0" t="n">
        <v>21</v>
      </c>
      <c r="E820" s="0" t="n">
        <v>595269.67</v>
      </c>
    </row>
    <row r="821" customFormat="false" ht="15" hidden="false" customHeight="false" outlineLevel="0" collapsed="false">
      <c r="A821" s="0" t="s">
        <v>875</v>
      </c>
      <c r="B821" s="0" t="s">
        <v>40</v>
      </c>
      <c r="C821" s="0" t="s">
        <v>53</v>
      </c>
      <c r="D821" s="0" t="n">
        <v>27</v>
      </c>
      <c r="E821" s="0" t="n">
        <v>1183189.53</v>
      </c>
    </row>
    <row r="822" customFormat="false" ht="15" hidden="false" customHeight="false" outlineLevel="0" collapsed="false">
      <c r="A822" s="0" t="s">
        <v>876</v>
      </c>
      <c r="B822" s="0" t="s">
        <v>36</v>
      </c>
      <c r="C822" s="0" t="s">
        <v>64</v>
      </c>
      <c r="D822" s="0" t="n">
        <v>56</v>
      </c>
      <c r="E822" s="0" t="n">
        <v>578913.09</v>
      </c>
    </row>
    <row r="823" customFormat="false" ht="15" hidden="false" customHeight="false" outlineLevel="0" collapsed="false">
      <c r="A823" s="0" t="s">
        <v>877</v>
      </c>
      <c r="B823" s="0" t="s">
        <v>36</v>
      </c>
      <c r="C823" s="0" t="s">
        <v>53</v>
      </c>
      <c r="D823" s="0" t="n">
        <v>92</v>
      </c>
      <c r="E823" s="0" t="n">
        <v>665731.81</v>
      </c>
    </row>
    <row r="824" customFormat="false" ht="15" hidden="false" customHeight="false" outlineLevel="0" collapsed="false">
      <c r="A824" s="0" t="s">
        <v>878</v>
      </c>
      <c r="B824" s="0" t="s">
        <v>40</v>
      </c>
      <c r="C824" s="0" t="s">
        <v>41</v>
      </c>
      <c r="D824" s="0" t="n">
        <v>29</v>
      </c>
      <c r="E824" s="0" t="n">
        <v>1952738.53</v>
      </c>
    </row>
    <row r="825" customFormat="false" ht="15" hidden="false" customHeight="false" outlineLevel="0" collapsed="false">
      <c r="A825" s="0" t="s">
        <v>879</v>
      </c>
      <c r="B825" s="0" t="s">
        <v>49</v>
      </c>
      <c r="C825" s="0" t="s">
        <v>64</v>
      </c>
      <c r="D825" s="0" t="n">
        <v>88</v>
      </c>
      <c r="E825" s="0" t="n">
        <v>644430.75</v>
      </c>
    </row>
    <row r="826" customFormat="false" ht="15" hidden="false" customHeight="false" outlineLevel="0" collapsed="false">
      <c r="A826" s="0" t="s">
        <v>880</v>
      </c>
      <c r="B826" s="0" t="s">
        <v>49</v>
      </c>
      <c r="C826" s="0" t="s">
        <v>76</v>
      </c>
      <c r="D826" s="0" t="n">
        <v>53</v>
      </c>
      <c r="E826" s="0" t="n">
        <v>595503.34</v>
      </c>
    </row>
    <row r="827" customFormat="false" ht="15" hidden="false" customHeight="false" outlineLevel="0" collapsed="false">
      <c r="A827" s="0" t="s">
        <v>881</v>
      </c>
      <c r="B827" s="0" t="s">
        <v>36</v>
      </c>
      <c r="C827" s="0" t="s">
        <v>89</v>
      </c>
      <c r="D827" s="0" t="n">
        <v>4</v>
      </c>
      <c r="E827" s="0" t="n">
        <v>373350.09</v>
      </c>
    </row>
    <row r="828" customFormat="false" ht="15" hidden="false" customHeight="false" outlineLevel="0" collapsed="false">
      <c r="A828" s="0" t="s">
        <v>882</v>
      </c>
      <c r="B828" s="0" t="s">
        <v>36</v>
      </c>
      <c r="C828" s="0" t="s">
        <v>41</v>
      </c>
      <c r="D828" s="0" t="n">
        <v>66</v>
      </c>
      <c r="E828" s="0" t="n">
        <v>316308.9</v>
      </c>
    </row>
    <row r="829" customFormat="false" ht="15" hidden="false" customHeight="false" outlineLevel="0" collapsed="false">
      <c r="A829" s="0" t="s">
        <v>883</v>
      </c>
      <c r="B829" s="0" t="s">
        <v>49</v>
      </c>
      <c r="C829" s="0" t="s">
        <v>53</v>
      </c>
      <c r="D829" s="0" t="n">
        <v>84</v>
      </c>
      <c r="E829" s="0" t="n">
        <v>450091.03</v>
      </c>
    </row>
    <row r="830" customFormat="false" ht="15" hidden="false" customHeight="false" outlineLevel="0" collapsed="false">
      <c r="A830" s="0" t="s">
        <v>884</v>
      </c>
      <c r="B830" s="0" t="s">
        <v>40</v>
      </c>
      <c r="C830" s="0" t="s">
        <v>41</v>
      </c>
      <c r="D830" s="0" t="n">
        <v>31</v>
      </c>
      <c r="E830" s="0" t="n">
        <v>1180224.69</v>
      </c>
    </row>
    <row r="831" customFormat="false" ht="15" hidden="false" customHeight="false" outlineLevel="0" collapsed="false">
      <c r="A831" s="0" t="s">
        <v>885</v>
      </c>
      <c r="B831" s="0" t="s">
        <v>40</v>
      </c>
      <c r="C831" s="0" t="s">
        <v>50</v>
      </c>
      <c r="D831" s="0" t="n">
        <v>73</v>
      </c>
      <c r="E831" s="0" t="n">
        <v>1713708.53</v>
      </c>
    </row>
    <row r="832" customFormat="false" ht="15" hidden="false" customHeight="false" outlineLevel="0" collapsed="false">
      <c r="A832" s="0" t="s">
        <v>886</v>
      </c>
      <c r="B832" s="0" t="s">
        <v>36</v>
      </c>
      <c r="C832" s="0" t="s">
        <v>41</v>
      </c>
      <c r="D832" s="0" t="n">
        <v>33</v>
      </c>
      <c r="E832" s="0" t="n">
        <v>367664.12</v>
      </c>
    </row>
    <row r="833" customFormat="false" ht="15" hidden="false" customHeight="false" outlineLevel="0" collapsed="false">
      <c r="A833" s="0" t="s">
        <v>887</v>
      </c>
      <c r="B833" s="0" t="s">
        <v>36</v>
      </c>
      <c r="C833" s="0" t="s">
        <v>37</v>
      </c>
      <c r="D833" s="0" t="n">
        <v>74</v>
      </c>
      <c r="E833" s="0" t="n">
        <v>536674.05</v>
      </c>
    </row>
    <row r="834" customFormat="false" ht="15" hidden="false" customHeight="false" outlineLevel="0" collapsed="false">
      <c r="A834" s="0" t="s">
        <v>888</v>
      </c>
      <c r="B834" s="0" t="s">
        <v>49</v>
      </c>
      <c r="C834" s="0" t="s">
        <v>53</v>
      </c>
      <c r="D834" s="0" t="n">
        <v>44</v>
      </c>
      <c r="E834" s="0" t="n">
        <v>475475.9</v>
      </c>
    </row>
    <row r="835" customFormat="false" ht="15" hidden="false" customHeight="false" outlineLevel="0" collapsed="false">
      <c r="A835" s="0" t="s">
        <v>889</v>
      </c>
      <c r="B835" s="0" t="s">
        <v>40</v>
      </c>
      <c r="C835" s="0" t="s">
        <v>53</v>
      </c>
      <c r="D835" s="0" t="n">
        <v>80</v>
      </c>
      <c r="E835" s="0" t="n">
        <v>1889612.09</v>
      </c>
    </row>
    <row r="836" customFormat="false" ht="15" hidden="false" customHeight="false" outlineLevel="0" collapsed="false">
      <c r="A836" s="0" t="s">
        <v>890</v>
      </c>
      <c r="B836" s="0" t="s">
        <v>40</v>
      </c>
      <c r="C836" s="0" t="s">
        <v>50</v>
      </c>
      <c r="D836" s="0" t="n">
        <v>65</v>
      </c>
      <c r="E836" s="0" t="n">
        <v>1118272.34</v>
      </c>
    </row>
    <row r="837" customFormat="false" ht="15" hidden="false" customHeight="false" outlineLevel="0" collapsed="false">
      <c r="A837" s="0" t="s">
        <v>891</v>
      </c>
      <c r="B837" s="0" t="s">
        <v>40</v>
      </c>
      <c r="C837" s="0" t="s">
        <v>44</v>
      </c>
      <c r="D837" s="0" t="n">
        <v>89</v>
      </c>
      <c r="E837" s="0" t="n">
        <v>1426349.56</v>
      </c>
    </row>
    <row r="838" customFormat="false" ht="15" hidden="false" customHeight="false" outlineLevel="0" collapsed="false">
      <c r="A838" s="0" t="s">
        <v>892</v>
      </c>
      <c r="B838" s="0" t="s">
        <v>40</v>
      </c>
      <c r="C838" s="0" t="s">
        <v>68</v>
      </c>
      <c r="D838" s="0" t="n">
        <v>39</v>
      </c>
      <c r="E838" s="0" t="n">
        <v>923015.75</v>
      </c>
    </row>
    <row r="839" customFormat="false" ht="15" hidden="false" customHeight="false" outlineLevel="0" collapsed="false">
      <c r="A839" s="0" t="s">
        <v>893</v>
      </c>
      <c r="B839" s="0" t="s">
        <v>36</v>
      </c>
      <c r="C839" s="0" t="s">
        <v>37</v>
      </c>
      <c r="D839" s="0" t="n">
        <v>43</v>
      </c>
      <c r="E839" s="0" t="n">
        <v>315612.26</v>
      </c>
    </row>
    <row r="840" customFormat="false" ht="15" hidden="false" customHeight="false" outlineLevel="0" collapsed="false">
      <c r="A840" s="0" t="s">
        <v>894</v>
      </c>
      <c r="B840" s="0" t="s">
        <v>36</v>
      </c>
      <c r="C840" s="0" t="s">
        <v>37</v>
      </c>
      <c r="D840" s="0" t="n">
        <v>33</v>
      </c>
      <c r="E840" s="0" t="n">
        <v>561393.54</v>
      </c>
    </row>
    <row r="841" customFormat="false" ht="15" hidden="false" customHeight="false" outlineLevel="0" collapsed="false">
      <c r="A841" s="0" t="s">
        <v>895</v>
      </c>
      <c r="B841" s="0" t="s">
        <v>36</v>
      </c>
      <c r="C841" s="0" t="s">
        <v>41</v>
      </c>
      <c r="D841" s="0" t="n">
        <v>8</v>
      </c>
      <c r="E841" s="0" t="n">
        <v>641069.64</v>
      </c>
    </row>
    <row r="842" customFormat="false" ht="15" hidden="false" customHeight="false" outlineLevel="0" collapsed="false">
      <c r="A842" s="0" t="s">
        <v>896</v>
      </c>
      <c r="B842" s="0" t="s">
        <v>49</v>
      </c>
      <c r="C842" s="0" t="s">
        <v>53</v>
      </c>
      <c r="D842" s="0" t="n">
        <v>40</v>
      </c>
      <c r="E842" s="0" t="n">
        <v>1087616.31</v>
      </c>
    </row>
    <row r="843" customFormat="false" ht="15" hidden="false" customHeight="false" outlineLevel="0" collapsed="false">
      <c r="A843" s="0" t="s">
        <v>897</v>
      </c>
      <c r="B843" s="0" t="s">
        <v>49</v>
      </c>
      <c r="C843" s="0" t="s">
        <v>76</v>
      </c>
      <c r="D843" s="0" t="n">
        <v>41</v>
      </c>
      <c r="E843" s="0" t="n">
        <v>495400.18</v>
      </c>
    </row>
    <row r="844" customFormat="false" ht="15" hidden="false" customHeight="false" outlineLevel="0" collapsed="false">
      <c r="A844" s="0" t="s">
        <v>898</v>
      </c>
      <c r="B844" s="0" t="s">
        <v>36</v>
      </c>
      <c r="C844" s="0" t="s">
        <v>81</v>
      </c>
      <c r="D844" s="0" t="n">
        <v>67</v>
      </c>
      <c r="E844" s="0" t="n">
        <v>534635.28</v>
      </c>
    </row>
    <row r="845" customFormat="false" ht="15" hidden="false" customHeight="false" outlineLevel="0" collapsed="false">
      <c r="A845" s="0" t="s">
        <v>899</v>
      </c>
      <c r="B845" s="0" t="s">
        <v>36</v>
      </c>
      <c r="C845" s="0" t="s">
        <v>64</v>
      </c>
      <c r="D845" s="0" t="n">
        <v>87</v>
      </c>
      <c r="E845" s="0" t="n">
        <v>403410.72</v>
      </c>
    </row>
    <row r="846" customFormat="false" ht="15" hidden="false" customHeight="false" outlineLevel="0" collapsed="false">
      <c r="A846" s="0" t="s">
        <v>900</v>
      </c>
      <c r="B846" s="0" t="s">
        <v>49</v>
      </c>
      <c r="C846" s="0" t="s">
        <v>50</v>
      </c>
      <c r="D846" s="0" t="n">
        <v>45</v>
      </c>
      <c r="E846" s="0" t="n">
        <v>816494.24</v>
      </c>
    </row>
    <row r="847" customFormat="false" ht="15" hidden="false" customHeight="false" outlineLevel="0" collapsed="false">
      <c r="A847" s="0" t="s">
        <v>901</v>
      </c>
      <c r="B847" s="0" t="s">
        <v>36</v>
      </c>
      <c r="C847" s="0" t="s">
        <v>37</v>
      </c>
      <c r="D847" s="0" t="n">
        <v>54</v>
      </c>
      <c r="E847" s="0" t="n">
        <v>379584.57</v>
      </c>
    </row>
    <row r="848" customFormat="false" ht="15" hidden="false" customHeight="false" outlineLevel="0" collapsed="false">
      <c r="A848" s="0" t="s">
        <v>902</v>
      </c>
      <c r="B848" s="0" t="s">
        <v>40</v>
      </c>
      <c r="C848" s="0" t="s">
        <v>44</v>
      </c>
      <c r="D848" s="0" t="n">
        <v>54</v>
      </c>
      <c r="E848" s="0" t="n">
        <v>1365069.94</v>
      </c>
    </row>
    <row r="849" customFormat="false" ht="15" hidden="false" customHeight="false" outlineLevel="0" collapsed="false">
      <c r="A849" s="0" t="s">
        <v>903</v>
      </c>
      <c r="B849" s="0" t="s">
        <v>66</v>
      </c>
      <c r="C849" s="0" t="s">
        <v>81</v>
      </c>
      <c r="D849" s="0" t="n">
        <v>31</v>
      </c>
      <c r="E849" s="0" t="n">
        <v>2325455.25</v>
      </c>
    </row>
    <row r="850" customFormat="false" ht="15" hidden="false" customHeight="false" outlineLevel="0" collapsed="false">
      <c r="A850" s="0" t="s">
        <v>904</v>
      </c>
      <c r="B850" s="0" t="s">
        <v>36</v>
      </c>
      <c r="C850" s="0" t="s">
        <v>44</v>
      </c>
      <c r="D850" s="0" t="n">
        <v>46</v>
      </c>
      <c r="E850" s="0" t="n">
        <v>488432.68</v>
      </c>
    </row>
    <row r="851" customFormat="false" ht="15" hidden="false" customHeight="false" outlineLevel="0" collapsed="false">
      <c r="A851" s="0" t="s">
        <v>905</v>
      </c>
      <c r="B851" s="0" t="s">
        <v>36</v>
      </c>
      <c r="C851" s="0" t="s">
        <v>44</v>
      </c>
      <c r="D851" s="0" t="n">
        <v>85</v>
      </c>
      <c r="E851" s="0" t="n">
        <v>643704.99</v>
      </c>
    </row>
    <row r="852" customFormat="false" ht="15" hidden="false" customHeight="false" outlineLevel="0" collapsed="false">
      <c r="A852" s="0" t="s">
        <v>906</v>
      </c>
      <c r="B852" s="0" t="s">
        <v>49</v>
      </c>
      <c r="C852" s="0" t="s">
        <v>37</v>
      </c>
      <c r="D852" s="0" t="n">
        <v>11</v>
      </c>
      <c r="E852" s="0" t="n">
        <v>819170.99</v>
      </c>
    </row>
    <row r="853" customFormat="false" ht="15" hidden="false" customHeight="false" outlineLevel="0" collapsed="false">
      <c r="A853" s="0" t="s">
        <v>907</v>
      </c>
      <c r="B853" s="0" t="s">
        <v>36</v>
      </c>
      <c r="C853" s="0" t="s">
        <v>44</v>
      </c>
      <c r="D853" s="0" t="n">
        <v>59</v>
      </c>
      <c r="E853" s="0" t="n">
        <v>570514.22</v>
      </c>
    </row>
    <row r="854" customFormat="false" ht="15" hidden="false" customHeight="false" outlineLevel="0" collapsed="false">
      <c r="A854" s="0" t="s">
        <v>908</v>
      </c>
      <c r="B854" s="0" t="s">
        <v>36</v>
      </c>
      <c r="C854" s="0" t="s">
        <v>50</v>
      </c>
      <c r="D854" s="0" t="n">
        <v>73</v>
      </c>
      <c r="E854" s="0" t="n">
        <v>679073.17</v>
      </c>
    </row>
    <row r="855" customFormat="false" ht="15" hidden="false" customHeight="false" outlineLevel="0" collapsed="false">
      <c r="A855" s="0" t="s">
        <v>909</v>
      </c>
      <c r="B855" s="0" t="s">
        <v>36</v>
      </c>
      <c r="C855" s="0" t="s">
        <v>81</v>
      </c>
      <c r="D855" s="0" t="n">
        <v>86</v>
      </c>
      <c r="E855" s="0" t="n">
        <v>524680.02</v>
      </c>
    </row>
    <row r="856" customFormat="false" ht="15" hidden="false" customHeight="false" outlineLevel="0" collapsed="false">
      <c r="A856" s="0" t="s">
        <v>910</v>
      </c>
      <c r="B856" s="0" t="s">
        <v>49</v>
      </c>
      <c r="C856" s="0" t="s">
        <v>76</v>
      </c>
      <c r="D856" s="0" t="n">
        <v>50</v>
      </c>
      <c r="E856" s="0" t="n">
        <v>496824.38</v>
      </c>
    </row>
    <row r="857" customFormat="false" ht="15" hidden="false" customHeight="false" outlineLevel="0" collapsed="false">
      <c r="A857" s="0" t="s">
        <v>911</v>
      </c>
      <c r="B857" s="0" t="s">
        <v>36</v>
      </c>
      <c r="C857" s="0" t="s">
        <v>37</v>
      </c>
      <c r="D857" s="0" t="n">
        <v>28</v>
      </c>
      <c r="E857" s="0" t="n">
        <v>392762.92</v>
      </c>
    </row>
    <row r="858" customFormat="false" ht="15" hidden="false" customHeight="false" outlineLevel="0" collapsed="false">
      <c r="A858" s="0" t="s">
        <v>912</v>
      </c>
      <c r="B858" s="0" t="s">
        <v>66</v>
      </c>
      <c r="C858" s="0" t="s">
        <v>53</v>
      </c>
      <c r="D858" s="0" t="n">
        <v>10</v>
      </c>
      <c r="E858" s="0" t="n">
        <v>2667918.86</v>
      </c>
    </row>
    <row r="859" customFormat="false" ht="15" hidden="false" customHeight="false" outlineLevel="0" collapsed="false">
      <c r="A859" s="0" t="s">
        <v>913</v>
      </c>
      <c r="B859" s="0" t="s">
        <v>36</v>
      </c>
      <c r="C859" s="0" t="s">
        <v>81</v>
      </c>
      <c r="D859" s="0" t="n">
        <v>31</v>
      </c>
      <c r="E859" s="0" t="n">
        <v>360101.48</v>
      </c>
    </row>
    <row r="860" customFormat="false" ht="15" hidden="false" customHeight="false" outlineLevel="0" collapsed="false">
      <c r="A860" s="0" t="s">
        <v>914</v>
      </c>
      <c r="B860" s="0" t="s">
        <v>40</v>
      </c>
      <c r="C860" s="0" t="s">
        <v>44</v>
      </c>
      <c r="D860" s="0" t="n">
        <v>87</v>
      </c>
      <c r="E860" s="0" t="n">
        <v>1312708.27</v>
      </c>
    </row>
    <row r="861" customFormat="false" ht="15" hidden="false" customHeight="false" outlineLevel="0" collapsed="false">
      <c r="A861" s="0" t="s">
        <v>915</v>
      </c>
      <c r="B861" s="0" t="s">
        <v>40</v>
      </c>
      <c r="C861" s="0" t="s">
        <v>37</v>
      </c>
      <c r="D861" s="0" t="n">
        <v>26</v>
      </c>
      <c r="E861" s="0" t="n">
        <v>2042726.45</v>
      </c>
    </row>
    <row r="862" customFormat="false" ht="15" hidden="false" customHeight="false" outlineLevel="0" collapsed="false">
      <c r="A862" s="0" t="s">
        <v>916</v>
      </c>
      <c r="B862" s="0" t="s">
        <v>49</v>
      </c>
      <c r="C862" s="0" t="s">
        <v>68</v>
      </c>
      <c r="D862" s="0" t="n">
        <v>29</v>
      </c>
      <c r="E862" s="0" t="n">
        <v>676122.27</v>
      </c>
    </row>
    <row r="863" customFormat="false" ht="15" hidden="false" customHeight="false" outlineLevel="0" collapsed="false">
      <c r="A863" s="0" t="s">
        <v>917</v>
      </c>
      <c r="B863" s="0" t="s">
        <v>49</v>
      </c>
      <c r="C863" s="0" t="s">
        <v>64</v>
      </c>
      <c r="D863" s="0" t="n">
        <v>24</v>
      </c>
      <c r="E863" s="0" t="n">
        <v>701146.73</v>
      </c>
    </row>
    <row r="864" customFormat="false" ht="15" hidden="false" customHeight="false" outlineLevel="0" collapsed="false">
      <c r="A864" s="0" t="s">
        <v>918</v>
      </c>
      <c r="B864" s="0" t="s">
        <v>49</v>
      </c>
      <c r="C864" s="0" t="s">
        <v>81</v>
      </c>
      <c r="D864" s="0" t="n">
        <v>59</v>
      </c>
      <c r="E864" s="0" t="n">
        <v>1108510.63</v>
      </c>
    </row>
    <row r="865" customFormat="false" ht="15" hidden="false" customHeight="false" outlineLevel="0" collapsed="false">
      <c r="A865" s="0" t="s">
        <v>919</v>
      </c>
      <c r="B865" s="0" t="s">
        <v>40</v>
      </c>
      <c r="C865" s="0" t="s">
        <v>53</v>
      </c>
      <c r="D865" s="0" t="n">
        <v>75</v>
      </c>
      <c r="E865" s="0" t="n">
        <v>1136209.85</v>
      </c>
    </row>
    <row r="866" customFormat="false" ht="15" hidden="false" customHeight="false" outlineLevel="0" collapsed="false">
      <c r="A866" s="0" t="s">
        <v>920</v>
      </c>
      <c r="B866" s="0" t="s">
        <v>40</v>
      </c>
      <c r="C866" s="0" t="s">
        <v>81</v>
      </c>
      <c r="D866" s="0" t="n">
        <v>78</v>
      </c>
      <c r="E866" s="0" t="n">
        <v>1458682.41</v>
      </c>
    </row>
    <row r="867" customFormat="false" ht="15" hidden="false" customHeight="false" outlineLevel="0" collapsed="false">
      <c r="A867" s="0" t="s">
        <v>921</v>
      </c>
      <c r="B867" s="0" t="s">
        <v>36</v>
      </c>
      <c r="C867" s="0" t="s">
        <v>81</v>
      </c>
      <c r="D867" s="0" t="n">
        <v>92</v>
      </c>
      <c r="E867" s="0" t="n">
        <v>355867.61</v>
      </c>
    </row>
    <row r="868" customFormat="false" ht="15" hidden="false" customHeight="false" outlineLevel="0" collapsed="false">
      <c r="A868" s="0" t="s">
        <v>922</v>
      </c>
      <c r="B868" s="0" t="s">
        <v>40</v>
      </c>
      <c r="C868" s="0" t="s">
        <v>53</v>
      </c>
      <c r="D868" s="0" t="n">
        <v>83</v>
      </c>
      <c r="E868" s="0" t="n">
        <v>1168946.55</v>
      </c>
    </row>
    <row r="869" customFormat="false" ht="15" hidden="false" customHeight="false" outlineLevel="0" collapsed="false">
      <c r="A869" s="0" t="s">
        <v>923</v>
      </c>
      <c r="B869" s="0" t="s">
        <v>49</v>
      </c>
      <c r="C869" s="0" t="s">
        <v>64</v>
      </c>
      <c r="D869" s="0" t="n">
        <v>83</v>
      </c>
      <c r="E869" s="0" t="n">
        <v>774706.31</v>
      </c>
    </row>
    <row r="870" customFormat="false" ht="15" hidden="false" customHeight="false" outlineLevel="0" collapsed="false">
      <c r="A870" s="0" t="s">
        <v>924</v>
      </c>
      <c r="B870" s="0" t="s">
        <v>66</v>
      </c>
      <c r="C870" s="0" t="s">
        <v>37</v>
      </c>
      <c r="D870" s="0" t="n">
        <v>35</v>
      </c>
      <c r="E870" s="0" t="n">
        <v>2995672.66</v>
      </c>
    </row>
    <row r="871" customFormat="false" ht="15" hidden="false" customHeight="false" outlineLevel="0" collapsed="false">
      <c r="A871" s="0" t="s">
        <v>925</v>
      </c>
      <c r="B871" s="0" t="s">
        <v>66</v>
      </c>
      <c r="C871" s="0" t="s">
        <v>64</v>
      </c>
      <c r="D871" s="0" t="n">
        <v>28</v>
      </c>
      <c r="E871" s="0" t="n">
        <v>3485823.71</v>
      </c>
    </row>
    <row r="872" customFormat="false" ht="15" hidden="false" customHeight="false" outlineLevel="0" collapsed="false">
      <c r="A872" s="0" t="s">
        <v>926</v>
      </c>
      <c r="B872" s="0" t="s">
        <v>36</v>
      </c>
      <c r="C872" s="0" t="s">
        <v>53</v>
      </c>
      <c r="D872" s="0" t="n">
        <v>35</v>
      </c>
      <c r="E872" s="0" t="n">
        <v>577143.25</v>
      </c>
    </row>
    <row r="873" customFormat="false" ht="15" hidden="false" customHeight="false" outlineLevel="0" collapsed="false">
      <c r="A873" s="0" t="s">
        <v>927</v>
      </c>
      <c r="B873" s="0" t="s">
        <v>49</v>
      </c>
      <c r="C873" s="0" t="s">
        <v>44</v>
      </c>
      <c r="D873" s="0" t="n">
        <v>56</v>
      </c>
      <c r="E873" s="0" t="n">
        <v>745312.98</v>
      </c>
    </row>
    <row r="874" customFormat="false" ht="15" hidden="false" customHeight="false" outlineLevel="0" collapsed="false">
      <c r="A874" s="0" t="s">
        <v>928</v>
      </c>
      <c r="B874" s="0" t="s">
        <v>36</v>
      </c>
      <c r="C874" s="0" t="s">
        <v>68</v>
      </c>
      <c r="D874" s="0" t="n">
        <v>59</v>
      </c>
      <c r="E874" s="0" t="n">
        <v>672743.01</v>
      </c>
    </row>
    <row r="875" customFormat="false" ht="15" hidden="false" customHeight="false" outlineLevel="0" collapsed="false">
      <c r="A875" s="0" t="s">
        <v>929</v>
      </c>
      <c r="B875" s="0" t="s">
        <v>49</v>
      </c>
      <c r="C875" s="0" t="s">
        <v>53</v>
      </c>
      <c r="D875" s="0" t="n">
        <v>81</v>
      </c>
      <c r="E875" s="0" t="n">
        <v>584085.67</v>
      </c>
    </row>
    <row r="876" customFormat="false" ht="15" hidden="false" customHeight="false" outlineLevel="0" collapsed="false">
      <c r="A876" s="0" t="s">
        <v>930</v>
      </c>
      <c r="B876" s="0" t="s">
        <v>40</v>
      </c>
      <c r="C876" s="0" t="s">
        <v>64</v>
      </c>
      <c r="D876" s="0" t="n">
        <v>15</v>
      </c>
      <c r="E876" s="0" t="n">
        <v>1195638.83</v>
      </c>
    </row>
    <row r="877" customFormat="false" ht="15" hidden="false" customHeight="false" outlineLevel="0" collapsed="false">
      <c r="A877" s="0" t="s">
        <v>931</v>
      </c>
      <c r="B877" s="0" t="s">
        <v>36</v>
      </c>
      <c r="C877" s="0" t="s">
        <v>44</v>
      </c>
      <c r="D877" s="0" t="n">
        <v>14</v>
      </c>
      <c r="E877" s="0" t="n">
        <v>632259.35</v>
      </c>
    </row>
    <row r="878" customFormat="false" ht="15" hidden="false" customHeight="false" outlineLevel="0" collapsed="false">
      <c r="A878" s="0" t="s">
        <v>932</v>
      </c>
      <c r="B878" s="0" t="s">
        <v>36</v>
      </c>
      <c r="C878" s="0" t="s">
        <v>44</v>
      </c>
      <c r="D878" s="0" t="n">
        <v>68</v>
      </c>
      <c r="E878" s="0" t="n">
        <v>647421.27</v>
      </c>
    </row>
    <row r="879" customFormat="false" ht="15" hidden="false" customHeight="false" outlineLevel="0" collapsed="false">
      <c r="A879" s="0" t="s">
        <v>933</v>
      </c>
      <c r="B879" s="0" t="s">
        <v>36</v>
      </c>
      <c r="C879" s="0" t="s">
        <v>64</v>
      </c>
      <c r="D879" s="0" t="n">
        <v>50</v>
      </c>
      <c r="E879" s="0" t="n">
        <v>361724.83</v>
      </c>
    </row>
    <row r="880" customFormat="false" ht="15" hidden="false" customHeight="false" outlineLevel="0" collapsed="false">
      <c r="A880" s="0" t="s">
        <v>934</v>
      </c>
      <c r="B880" s="0" t="s">
        <v>40</v>
      </c>
      <c r="C880" s="0" t="s">
        <v>89</v>
      </c>
      <c r="D880" s="0" t="n">
        <v>66</v>
      </c>
      <c r="E880" s="0" t="n">
        <v>1261184.86</v>
      </c>
    </row>
    <row r="881" customFormat="false" ht="15" hidden="false" customHeight="false" outlineLevel="0" collapsed="false">
      <c r="A881" s="0" t="s">
        <v>935</v>
      </c>
      <c r="B881" s="0" t="s">
        <v>36</v>
      </c>
      <c r="C881" s="0" t="s">
        <v>68</v>
      </c>
      <c r="D881" s="0" t="n">
        <v>67</v>
      </c>
      <c r="E881" s="0" t="n">
        <v>706279.31</v>
      </c>
    </row>
    <row r="882" customFormat="false" ht="15" hidden="false" customHeight="false" outlineLevel="0" collapsed="false">
      <c r="A882" s="0" t="s">
        <v>936</v>
      </c>
      <c r="B882" s="0" t="s">
        <v>36</v>
      </c>
      <c r="C882" s="0" t="s">
        <v>50</v>
      </c>
      <c r="D882" s="0" t="n">
        <v>44</v>
      </c>
      <c r="E882" s="0" t="n">
        <v>750156.3</v>
      </c>
    </row>
    <row r="883" customFormat="false" ht="15" hidden="false" customHeight="false" outlineLevel="0" collapsed="false">
      <c r="A883" s="0" t="s">
        <v>937</v>
      </c>
      <c r="B883" s="0" t="s">
        <v>49</v>
      </c>
      <c r="C883" s="0" t="s">
        <v>37</v>
      </c>
      <c r="D883" s="0" t="n">
        <v>88</v>
      </c>
      <c r="E883" s="0" t="n">
        <v>605080.6</v>
      </c>
    </row>
    <row r="884" customFormat="false" ht="15" hidden="false" customHeight="false" outlineLevel="0" collapsed="false">
      <c r="A884" s="0" t="s">
        <v>938</v>
      </c>
      <c r="B884" s="0" t="s">
        <v>40</v>
      </c>
      <c r="C884" s="0" t="s">
        <v>81</v>
      </c>
      <c r="D884" s="0" t="n">
        <v>47</v>
      </c>
      <c r="E884" s="0" t="n">
        <v>1412134.24</v>
      </c>
    </row>
    <row r="885" customFormat="false" ht="15" hidden="false" customHeight="false" outlineLevel="0" collapsed="false">
      <c r="A885" s="0" t="s">
        <v>939</v>
      </c>
      <c r="B885" s="0" t="s">
        <v>49</v>
      </c>
      <c r="C885" s="0" t="s">
        <v>76</v>
      </c>
      <c r="D885" s="0" t="n">
        <v>7</v>
      </c>
      <c r="E885" s="0" t="n">
        <v>738120.09</v>
      </c>
    </row>
    <row r="886" customFormat="false" ht="15" hidden="false" customHeight="false" outlineLevel="0" collapsed="false">
      <c r="A886" s="0" t="s">
        <v>940</v>
      </c>
      <c r="B886" s="0" t="s">
        <v>49</v>
      </c>
      <c r="C886" s="0" t="s">
        <v>44</v>
      </c>
      <c r="D886" s="0" t="n">
        <v>49</v>
      </c>
      <c r="E886" s="0" t="n">
        <v>894519.12</v>
      </c>
    </row>
    <row r="887" customFormat="false" ht="15" hidden="false" customHeight="false" outlineLevel="0" collapsed="false">
      <c r="A887" s="0" t="s">
        <v>941</v>
      </c>
      <c r="B887" s="0" t="s">
        <v>36</v>
      </c>
      <c r="C887" s="0" t="s">
        <v>64</v>
      </c>
      <c r="D887" s="0" t="n">
        <v>75</v>
      </c>
      <c r="E887" s="0" t="n">
        <v>760954.25</v>
      </c>
    </row>
    <row r="888" customFormat="false" ht="15" hidden="false" customHeight="false" outlineLevel="0" collapsed="false">
      <c r="A888" s="0" t="s">
        <v>942</v>
      </c>
      <c r="B888" s="0" t="s">
        <v>40</v>
      </c>
      <c r="C888" s="0" t="s">
        <v>53</v>
      </c>
      <c r="D888" s="0" t="n">
        <v>80</v>
      </c>
      <c r="E888" s="0" t="n">
        <v>1068004.26</v>
      </c>
    </row>
    <row r="889" customFormat="false" ht="15" hidden="false" customHeight="false" outlineLevel="0" collapsed="false">
      <c r="A889" s="0" t="s">
        <v>943</v>
      </c>
      <c r="B889" s="0" t="s">
        <v>49</v>
      </c>
      <c r="C889" s="0" t="s">
        <v>64</v>
      </c>
      <c r="D889" s="0" t="n">
        <v>10</v>
      </c>
      <c r="E889" s="0" t="n">
        <v>1077179.13</v>
      </c>
    </row>
    <row r="890" customFormat="false" ht="15" hidden="false" customHeight="false" outlineLevel="0" collapsed="false">
      <c r="A890" s="0" t="s">
        <v>944</v>
      </c>
      <c r="B890" s="0" t="s">
        <v>36</v>
      </c>
      <c r="C890" s="0" t="s">
        <v>81</v>
      </c>
      <c r="D890" s="0" t="n">
        <v>67</v>
      </c>
      <c r="E890" s="0" t="n">
        <v>318363.26</v>
      </c>
    </row>
    <row r="891" customFormat="false" ht="15" hidden="false" customHeight="false" outlineLevel="0" collapsed="false">
      <c r="A891" s="0" t="s">
        <v>945</v>
      </c>
      <c r="B891" s="0" t="s">
        <v>36</v>
      </c>
      <c r="C891" s="0" t="s">
        <v>53</v>
      </c>
      <c r="D891" s="0" t="n">
        <v>46</v>
      </c>
      <c r="E891" s="0" t="n">
        <v>640567.18</v>
      </c>
    </row>
    <row r="892" customFormat="false" ht="15" hidden="false" customHeight="false" outlineLevel="0" collapsed="false">
      <c r="A892" s="0" t="s">
        <v>946</v>
      </c>
      <c r="B892" s="0" t="s">
        <v>49</v>
      </c>
      <c r="C892" s="0" t="s">
        <v>89</v>
      </c>
      <c r="D892" s="0" t="n">
        <v>61</v>
      </c>
      <c r="E892" s="0" t="n">
        <v>598821.39</v>
      </c>
    </row>
    <row r="893" customFormat="false" ht="15" hidden="false" customHeight="false" outlineLevel="0" collapsed="false">
      <c r="A893" s="0" t="s">
        <v>947</v>
      </c>
      <c r="B893" s="0" t="s">
        <v>36</v>
      </c>
      <c r="C893" s="0" t="s">
        <v>53</v>
      </c>
      <c r="D893" s="0" t="n">
        <v>38</v>
      </c>
      <c r="E893" s="0" t="n">
        <v>411697.06</v>
      </c>
    </row>
    <row r="894" customFormat="false" ht="15" hidden="false" customHeight="false" outlineLevel="0" collapsed="false">
      <c r="A894" s="0" t="s">
        <v>948</v>
      </c>
      <c r="B894" s="0" t="s">
        <v>49</v>
      </c>
      <c r="C894" s="0" t="s">
        <v>89</v>
      </c>
      <c r="D894" s="0" t="n">
        <v>13</v>
      </c>
      <c r="E894" s="0" t="n">
        <v>744238.61</v>
      </c>
    </row>
    <row r="895" customFormat="false" ht="15" hidden="false" customHeight="false" outlineLevel="0" collapsed="false">
      <c r="A895" s="0" t="s">
        <v>949</v>
      </c>
      <c r="B895" s="0" t="s">
        <v>36</v>
      </c>
      <c r="C895" s="0" t="s">
        <v>41</v>
      </c>
      <c r="D895" s="0" t="n">
        <v>5</v>
      </c>
      <c r="E895" s="0" t="n">
        <v>367168.22</v>
      </c>
    </row>
    <row r="896" customFormat="false" ht="15" hidden="false" customHeight="false" outlineLevel="0" collapsed="false">
      <c r="A896" s="0" t="s">
        <v>950</v>
      </c>
      <c r="B896" s="0" t="s">
        <v>49</v>
      </c>
      <c r="C896" s="0" t="s">
        <v>89</v>
      </c>
      <c r="D896" s="0" t="n">
        <v>93</v>
      </c>
      <c r="E896" s="0" t="n">
        <v>892686.8</v>
      </c>
    </row>
    <row r="897" customFormat="false" ht="15" hidden="false" customHeight="false" outlineLevel="0" collapsed="false">
      <c r="A897" s="0" t="s">
        <v>951</v>
      </c>
      <c r="B897" s="0" t="s">
        <v>40</v>
      </c>
      <c r="C897" s="0" t="s">
        <v>41</v>
      </c>
      <c r="D897" s="0" t="n">
        <v>94</v>
      </c>
      <c r="E897" s="0" t="n">
        <v>1358800.73</v>
      </c>
    </row>
    <row r="898" customFormat="false" ht="15" hidden="false" customHeight="false" outlineLevel="0" collapsed="false">
      <c r="A898" s="0" t="s">
        <v>952</v>
      </c>
      <c r="B898" s="0" t="s">
        <v>36</v>
      </c>
      <c r="C898" s="0" t="s">
        <v>53</v>
      </c>
      <c r="D898" s="0" t="n">
        <v>79</v>
      </c>
      <c r="E898" s="0" t="n">
        <v>472881.98</v>
      </c>
    </row>
    <row r="899" customFormat="false" ht="15" hidden="false" customHeight="false" outlineLevel="0" collapsed="false">
      <c r="A899" s="0" t="s">
        <v>953</v>
      </c>
      <c r="B899" s="0" t="s">
        <v>49</v>
      </c>
      <c r="C899" s="0" t="s">
        <v>53</v>
      </c>
      <c r="D899" s="0" t="n">
        <v>62</v>
      </c>
      <c r="E899" s="0" t="n">
        <v>1033223.11</v>
      </c>
    </row>
    <row r="900" customFormat="false" ht="15" hidden="false" customHeight="false" outlineLevel="0" collapsed="false">
      <c r="A900" s="0" t="s">
        <v>954</v>
      </c>
      <c r="B900" s="0" t="s">
        <v>49</v>
      </c>
      <c r="C900" s="0" t="s">
        <v>53</v>
      </c>
      <c r="D900" s="0" t="n">
        <v>36</v>
      </c>
      <c r="E900" s="0" t="n">
        <v>372818.61</v>
      </c>
    </row>
    <row r="901" customFormat="false" ht="15" hidden="false" customHeight="false" outlineLevel="0" collapsed="false">
      <c r="A901" s="0" t="s">
        <v>955</v>
      </c>
      <c r="B901" s="0" t="s">
        <v>36</v>
      </c>
      <c r="C901" s="0" t="s">
        <v>68</v>
      </c>
      <c r="D901" s="0" t="n">
        <v>32</v>
      </c>
      <c r="E901" s="0" t="n">
        <v>681971.16</v>
      </c>
    </row>
    <row r="902" customFormat="false" ht="15" hidden="false" customHeight="false" outlineLevel="0" collapsed="false">
      <c r="A902" s="0" t="s">
        <v>956</v>
      </c>
      <c r="B902" s="0" t="s">
        <v>49</v>
      </c>
      <c r="C902" s="0" t="s">
        <v>53</v>
      </c>
      <c r="D902" s="0" t="n">
        <v>83</v>
      </c>
      <c r="E902" s="0" t="n">
        <v>599216.81</v>
      </c>
    </row>
    <row r="903" customFormat="false" ht="15" hidden="false" customHeight="false" outlineLevel="0" collapsed="false">
      <c r="A903" s="0" t="s">
        <v>957</v>
      </c>
      <c r="B903" s="0" t="s">
        <v>36</v>
      </c>
      <c r="C903" s="0" t="s">
        <v>64</v>
      </c>
      <c r="D903" s="0" t="n">
        <v>25</v>
      </c>
      <c r="E903" s="0" t="n">
        <v>386427.1</v>
      </c>
    </row>
    <row r="904" customFormat="false" ht="15" hidden="false" customHeight="false" outlineLevel="0" collapsed="false">
      <c r="A904" s="0" t="s">
        <v>958</v>
      </c>
      <c r="B904" s="0" t="s">
        <v>40</v>
      </c>
      <c r="C904" s="0" t="s">
        <v>89</v>
      </c>
      <c r="D904" s="0" t="n">
        <v>54</v>
      </c>
      <c r="E904" s="0" t="n">
        <v>1328448.38</v>
      </c>
    </row>
    <row r="905" customFormat="false" ht="15" hidden="false" customHeight="false" outlineLevel="0" collapsed="false">
      <c r="A905" s="0" t="s">
        <v>959</v>
      </c>
      <c r="B905" s="0" t="s">
        <v>36</v>
      </c>
      <c r="C905" s="0" t="s">
        <v>76</v>
      </c>
      <c r="D905" s="0" t="n">
        <v>34</v>
      </c>
      <c r="E905" s="0" t="n">
        <v>578730.21</v>
      </c>
    </row>
    <row r="906" customFormat="false" ht="15" hidden="false" customHeight="false" outlineLevel="0" collapsed="false">
      <c r="A906" s="0" t="s">
        <v>960</v>
      </c>
      <c r="B906" s="0" t="s">
        <v>36</v>
      </c>
      <c r="C906" s="0" t="s">
        <v>50</v>
      </c>
      <c r="D906" s="0" t="n">
        <v>20</v>
      </c>
      <c r="E906" s="0" t="n">
        <v>353537.93</v>
      </c>
    </row>
    <row r="907" customFormat="false" ht="15" hidden="false" customHeight="false" outlineLevel="0" collapsed="false">
      <c r="A907" s="0" t="s">
        <v>961</v>
      </c>
      <c r="B907" s="0" t="s">
        <v>36</v>
      </c>
      <c r="C907" s="0" t="s">
        <v>53</v>
      </c>
      <c r="D907" s="0" t="n">
        <v>79</v>
      </c>
      <c r="E907" s="0" t="n">
        <v>785749.49</v>
      </c>
    </row>
    <row r="908" customFormat="false" ht="15" hidden="false" customHeight="false" outlineLevel="0" collapsed="false">
      <c r="A908" s="0" t="s">
        <v>962</v>
      </c>
      <c r="B908" s="0" t="s">
        <v>36</v>
      </c>
      <c r="C908" s="0" t="s">
        <v>41</v>
      </c>
      <c r="D908" s="0" t="n">
        <v>5</v>
      </c>
      <c r="E908" s="0" t="n">
        <v>631461.92</v>
      </c>
    </row>
    <row r="909" customFormat="false" ht="15" hidden="false" customHeight="false" outlineLevel="0" collapsed="false">
      <c r="A909" s="0" t="s">
        <v>963</v>
      </c>
      <c r="B909" s="0" t="s">
        <v>49</v>
      </c>
      <c r="C909" s="0" t="s">
        <v>41</v>
      </c>
      <c r="D909" s="0" t="n">
        <v>35</v>
      </c>
      <c r="E909" s="0" t="n">
        <v>770523.36</v>
      </c>
    </row>
    <row r="910" customFormat="false" ht="15" hidden="false" customHeight="false" outlineLevel="0" collapsed="false">
      <c r="A910" s="0" t="s">
        <v>964</v>
      </c>
      <c r="B910" s="0" t="s">
        <v>36</v>
      </c>
      <c r="C910" s="0" t="s">
        <v>68</v>
      </c>
      <c r="D910" s="0" t="n">
        <v>92</v>
      </c>
      <c r="E910" s="0" t="n">
        <v>753109.02</v>
      </c>
    </row>
    <row r="911" customFormat="false" ht="15" hidden="false" customHeight="false" outlineLevel="0" collapsed="false">
      <c r="A911" s="0" t="s">
        <v>965</v>
      </c>
      <c r="B911" s="0" t="s">
        <v>36</v>
      </c>
      <c r="C911" s="0" t="s">
        <v>53</v>
      </c>
      <c r="D911" s="0" t="n">
        <v>75</v>
      </c>
      <c r="E911" s="0" t="n">
        <v>422538.77</v>
      </c>
    </row>
    <row r="912" customFormat="false" ht="15" hidden="false" customHeight="false" outlineLevel="0" collapsed="false">
      <c r="A912" s="0" t="s">
        <v>966</v>
      </c>
      <c r="B912" s="0" t="s">
        <v>40</v>
      </c>
      <c r="C912" s="0" t="s">
        <v>53</v>
      </c>
      <c r="D912" s="0" t="n">
        <v>82</v>
      </c>
      <c r="E912" s="0" t="n">
        <v>1358722.91</v>
      </c>
    </row>
    <row r="913" customFormat="false" ht="15" hidden="false" customHeight="false" outlineLevel="0" collapsed="false">
      <c r="A913" s="0" t="s">
        <v>967</v>
      </c>
      <c r="B913" s="0" t="s">
        <v>49</v>
      </c>
      <c r="C913" s="0" t="s">
        <v>44</v>
      </c>
      <c r="D913" s="0" t="n">
        <v>18</v>
      </c>
      <c r="E913" s="0" t="n">
        <v>818925.48</v>
      </c>
    </row>
    <row r="914" customFormat="false" ht="15" hidden="false" customHeight="false" outlineLevel="0" collapsed="false">
      <c r="A914" s="0" t="s">
        <v>968</v>
      </c>
      <c r="B914" s="0" t="s">
        <v>36</v>
      </c>
      <c r="C914" s="0" t="s">
        <v>44</v>
      </c>
      <c r="D914" s="0" t="n">
        <v>88</v>
      </c>
      <c r="E914" s="0" t="n">
        <v>462108.6</v>
      </c>
    </row>
    <row r="915" customFormat="false" ht="15" hidden="false" customHeight="false" outlineLevel="0" collapsed="false">
      <c r="A915" s="0" t="s">
        <v>969</v>
      </c>
      <c r="B915" s="0" t="s">
        <v>36</v>
      </c>
      <c r="C915" s="0" t="s">
        <v>50</v>
      </c>
      <c r="D915" s="0" t="n">
        <v>17</v>
      </c>
      <c r="E915" s="0" t="n">
        <v>416830.81</v>
      </c>
    </row>
    <row r="916" customFormat="false" ht="15" hidden="false" customHeight="false" outlineLevel="0" collapsed="false">
      <c r="A916" s="0" t="s">
        <v>970</v>
      </c>
      <c r="B916" s="0" t="s">
        <v>49</v>
      </c>
      <c r="C916" s="0" t="s">
        <v>50</v>
      </c>
      <c r="D916" s="0" t="n">
        <v>44</v>
      </c>
      <c r="E916" s="0" t="n">
        <v>543595.48</v>
      </c>
    </row>
    <row r="917" customFormat="false" ht="15" hidden="false" customHeight="false" outlineLevel="0" collapsed="false">
      <c r="A917" s="0" t="s">
        <v>971</v>
      </c>
      <c r="B917" s="0" t="s">
        <v>66</v>
      </c>
      <c r="C917" s="0" t="s">
        <v>44</v>
      </c>
      <c r="D917" s="0" t="n">
        <v>26</v>
      </c>
      <c r="E917" s="0" t="n">
        <v>3452454.19</v>
      </c>
    </row>
    <row r="918" customFormat="false" ht="15" hidden="false" customHeight="false" outlineLevel="0" collapsed="false">
      <c r="A918" s="0" t="s">
        <v>972</v>
      </c>
      <c r="B918" s="0" t="s">
        <v>36</v>
      </c>
      <c r="C918" s="0" t="s">
        <v>76</v>
      </c>
      <c r="D918" s="0" t="n">
        <v>64</v>
      </c>
      <c r="E918" s="0" t="n">
        <v>601622.59</v>
      </c>
    </row>
    <row r="919" customFormat="false" ht="15" hidden="false" customHeight="false" outlineLevel="0" collapsed="false">
      <c r="A919" s="0" t="s">
        <v>973</v>
      </c>
      <c r="B919" s="0" t="s">
        <v>36</v>
      </c>
      <c r="C919" s="0" t="s">
        <v>37</v>
      </c>
      <c r="D919" s="0" t="n">
        <v>31</v>
      </c>
      <c r="E919" s="0" t="n">
        <v>743134.2</v>
      </c>
    </row>
    <row r="920" customFormat="false" ht="15" hidden="false" customHeight="false" outlineLevel="0" collapsed="false">
      <c r="A920" s="0" t="s">
        <v>974</v>
      </c>
      <c r="B920" s="0" t="s">
        <v>36</v>
      </c>
      <c r="C920" s="0" t="s">
        <v>53</v>
      </c>
      <c r="D920" s="0" t="n">
        <v>12</v>
      </c>
      <c r="E920" s="0" t="n">
        <v>316539.18</v>
      </c>
    </row>
    <row r="921" customFormat="false" ht="15" hidden="false" customHeight="false" outlineLevel="0" collapsed="false">
      <c r="A921" s="0" t="s">
        <v>975</v>
      </c>
      <c r="B921" s="0" t="s">
        <v>40</v>
      </c>
      <c r="C921" s="0" t="s">
        <v>53</v>
      </c>
      <c r="D921" s="0" t="n">
        <v>12</v>
      </c>
      <c r="E921" s="0" t="n">
        <v>1054040.9</v>
      </c>
    </row>
    <row r="922" customFormat="false" ht="15" hidden="false" customHeight="false" outlineLevel="0" collapsed="false">
      <c r="A922" s="0" t="s">
        <v>976</v>
      </c>
      <c r="B922" s="0" t="s">
        <v>40</v>
      </c>
      <c r="C922" s="0" t="s">
        <v>89</v>
      </c>
      <c r="D922" s="0" t="n">
        <v>63</v>
      </c>
      <c r="E922" s="0" t="n">
        <v>1596758.31</v>
      </c>
    </row>
    <row r="923" customFormat="false" ht="15" hidden="false" customHeight="false" outlineLevel="0" collapsed="false">
      <c r="A923" s="0" t="s">
        <v>977</v>
      </c>
      <c r="B923" s="0" t="s">
        <v>49</v>
      </c>
      <c r="C923" s="0" t="s">
        <v>68</v>
      </c>
      <c r="D923" s="0" t="n">
        <v>55</v>
      </c>
      <c r="E923" s="0" t="n">
        <v>794172.88</v>
      </c>
    </row>
    <row r="924" customFormat="false" ht="15" hidden="false" customHeight="false" outlineLevel="0" collapsed="false">
      <c r="A924" s="0" t="s">
        <v>978</v>
      </c>
      <c r="B924" s="0" t="s">
        <v>66</v>
      </c>
      <c r="C924" s="0" t="s">
        <v>53</v>
      </c>
      <c r="D924" s="0" t="n">
        <v>65</v>
      </c>
      <c r="E924" s="0" t="n">
        <v>2056964.75</v>
      </c>
    </row>
    <row r="925" customFormat="false" ht="15" hidden="false" customHeight="false" outlineLevel="0" collapsed="false">
      <c r="A925" s="0" t="s">
        <v>979</v>
      </c>
      <c r="B925" s="0" t="s">
        <v>66</v>
      </c>
      <c r="C925" s="0" t="s">
        <v>68</v>
      </c>
      <c r="D925" s="0" t="n">
        <v>75</v>
      </c>
      <c r="E925" s="0" t="n">
        <v>3604009.64</v>
      </c>
    </row>
    <row r="926" customFormat="false" ht="15" hidden="false" customHeight="false" outlineLevel="0" collapsed="false">
      <c r="A926" s="0" t="s">
        <v>980</v>
      </c>
      <c r="B926" s="0" t="s">
        <v>36</v>
      </c>
      <c r="C926" s="0" t="s">
        <v>41</v>
      </c>
      <c r="D926" s="0" t="n">
        <v>43</v>
      </c>
      <c r="E926" s="0" t="n">
        <v>767862.76</v>
      </c>
    </row>
    <row r="927" customFormat="false" ht="15" hidden="false" customHeight="false" outlineLevel="0" collapsed="false">
      <c r="A927" s="0" t="s">
        <v>981</v>
      </c>
      <c r="B927" s="0" t="s">
        <v>40</v>
      </c>
      <c r="C927" s="0" t="s">
        <v>76</v>
      </c>
      <c r="D927" s="0" t="n">
        <v>71</v>
      </c>
      <c r="E927" s="0" t="n">
        <v>1821466.51</v>
      </c>
    </row>
    <row r="928" customFormat="false" ht="15" hidden="false" customHeight="false" outlineLevel="0" collapsed="false">
      <c r="A928" s="0" t="s">
        <v>982</v>
      </c>
      <c r="B928" s="0" t="s">
        <v>36</v>
      </c>
      <c r="C928" s="0" t="s">
        <v>44</v>
      </c>
      <c r="D928" s="0" t="n">
        <v>61</v>
      </c>
      <c r="E928" s="0" t="n">
        <v>372410.29</v>
      </c>
    </row>
    <row r="929" customFormat="false" ht="15" hidden="false" customHeight="false" outlineLevel="0" collapsed="false">
      <c r="A929" s="0" t="s">
        <v>983</v>
      </c>
      <c r="B929" s="0" t="s">
        <v>36</v>
      </c>
      <c r="C929" s="0" t="s">
        <v>68</v>
      </c>
      <c r="D929" s="0" t="n">
        <v>16</v>
      </c>
      <c r="E929" s="0" t="n">
        <v>326978</v>
      </c>
    </row>
    <row r="930" customFormat="false" ht="15" hidden="false" customHeight="false" outlineLevel="0" collapsed="false">
      <c r="A930" s="0" t="s">
        <v>984</v>
      </c>
      <c r="B930" s="0" t="s">
        <v>36</v>
      </c>
      <c r="C930" s="0" t="s">
        <v>41</v>
      </c>
      <c r="D930" s="0" t="n">
        <v>58</v>
      </c>
      <c r="E930" s="0" t="n">
        <v>669029.92</v>
      </c>
    </row>
    <row r="931" customFormat="false" ht="15" hidden="false" customHeight="false" outlineLevel="0" collapsed="false">
      <c r="A931" s="0" t="s">
        <v>985</v>
      </c>
      <c r="B931" s="0" t="s">
        <v>36</v>
      </c>
      <c r="C931" s="0" t="s">
        <v>76</v>
      </c>
      <c r="D931" s="0" t="n">
        <v>64</v>
      </c>
      <c r="E931" s="0" t="n">
        <v>489304.03</v>
      </c>
    </row>
    <row r="932" customFormat="false" ht="15" hidden="false" customHeight="false" outlineLevel="0" collapsed="false">
      <c r="A932" s="0" t="s">
        <v>986</v>
      </c>
      <c r="B932" s="0" t="s">
        <v>40</v>
      </c>
      <c r="C932" s="0" t="s">
        <v>81</v>
      </c>
      <c r="D932" s="0" t="n">
        <v>15</v>
      </c>
      <c r="E932" s="0" t="n">
        <v>1980012.12</v>
      </c>
    </row>
    <row r="933" customFormat="false" ht="15" hidden="false" customHeight="false" outlineLevel="0" collapsed="false">
      <c r="A933" s="0" t="s">
        <v>987</v>
      </c>
      <c r="B933" s="0" t="s">
        <v>66</v>
      </c>
      <c r="C933" s="0" t="s">
        <v>53</v>
      </c>
      <c r="D933" s="0" t="n">
        <v>78</v>
      </c>
      <c r="E933" s="0" t="n">
        <v>3944943.99</v>
      </c>
    </row>
    <row r="934" customFormat="false" ht="15" hidden="false" customHeight="false" outlineLevel="0" collapsed="false">
      <c r="A934" s="0" t="s">
        <v>988</v>
      </c>
      <c r="B934" s="0" t="s">
        <v>36</v>
      </c>
      <c r="C934" s="0" t="s">
        <v>64</v>
      </c>
      <c r="D934" s="0" t="n">
        <v>61</v>
      </c>
      <c r="E934" s="0" t="n">
        <v>651816.34</v>
      </c>
    </row>
    <row r="935" customFormat="false" ht="15" hidden="false" customHeight="false" outlineLevel="0" collapsed="false">
      <c r="A935" s="0" t="s">
        <v>989</v>
      </c>
      <c r="B935" s="0" t="s">
        <v>36</v>
      </c>
      <c r="C935" s="0" t="s">
        <v>37</v>
      </c>
      <c r="D935" s="0" t="n">
        <v>8</v>
      </c>
      <c r="E935" s="0" t="n">
        <v>609224.17</v>
      </c>
    </row>
    <row r="936" customFormat="false" ht="15" hidden="false" customHeight="false" outlineLevel="0" collapsed="false">
      <c r="A936" s="0" t="s">
        <v>990</v>
      </c>
      <c r="B936" s="0" t="s">
        <v>49</v>
      </c>
      <c r="C936" s="0" t="s">
        <v>76</v>
      </c>
      <c r="D936" s="0" t="n">
        <v>81</v>
      </c>
      <c r="E936" s="0" t="n">
        <v>503840.28</v>
      </c>
    </row>
    <row r="937" customFormat="false" ht="15" hidden="false" customHeight="false" outlineLevel="0" collapsed="false">
      <c r="A937" s="0" t="s">
        <v>991</v>
      </c>
      <c r="B937" s="0" t="s">
        <v>49</v>
      </c>
      <c r="C937" s="0" t="s">
        <v>68</v>
      </c>
      <c r="D937" s="0" t="n">
        <v>9</v>
      </c>
      <c r="E937" s="0" t="n">
        <v>776677.64</v>
      </c>
    </row>
    <row r="938" customFormat="false" ht="15" hidden="false" customHeight="false" outlineLevel="0" collapsed="false">
      <c r="A938" s="0" t="s">
        <v>992</v>
      </c>
      <c r="B938" s="0" t="s">
        <v>49</v>
      </c>
      <c r="C938" s="0" t="s">
        <v>37</v>
      </c>
      <c r="D938" s="0" t="n">
        <v>78</v>
      </c>
      <c r="E938" s="0" t="n">
        <v>445716.08</v>
      </c>
    </row>
    <row r="939" customFormat="false" ht="15" hidden="false" customHeight="false" outlineLevel="0" collapsed="false">
      <c r="A939" s="0" t="s">
        <v>993</v>
      </c>
      <c r="B939" s="0" t="s">
        <v>40</v>
      </c>
      <c r="C939" s="0" t="s">
        <v>41</v>
      </c>
      <c r="D939" s="0" t="n">
        <v>61</v>
      </c>
      <c r="E939" s="0" t="n">
        <v>878656.74</v>
      </c>
    </row>
    <row r="940" customFormat="false" ht="15" hidden="false" customHeight="false" outlineLevel="0" collapsed="false">
      <c r="A940" s="0" t="s">
        <v>994</v>
      </c>
      <c r="B940" s="0" t="s">
        <v>36</v>
      </c>
      <c r="C940" s="0" t="s">
        <v>53</v>
      </c>
      <c r="D940" s="0" t="n">
        <v>84</v>
      </c>
      <c r="E940" s="0" t="n">
        <v>621225.61</v>
      </c>
    </row>
    <row r="941" customFormat="false" ht="15" hidden="false" customHeight="false" outlineLevel="0" collapsed="false">
      <c r="A941" s="0" t="s">
        <v>995</v>
      </c>
      <c r="B941" s="0" t="s">
        <v>36</v>
      </c>
      <c r="C941" s="0" t="s">
        <v>68</v>
      </c>
      <c r="D941" s="0" t="n">
        <v>92</v>
      </c>
      <c r="E941" s="0" t="n">
        <v>596149.41</v>
      </c>
    </row>
    <row r="942" customFormat="false" ht="15" hidden="false" customHeight="false" outlineLevel="0" collapsed="false">
      <c r="A942" s="0" t="s">
        <v>996</v>
      </c>
      <c r="B942" s="0" t="s">
        <v>40</v>
      </c>
      <c r="C942" s="0" t="s">
        <v>64</v>
      </c>
      <c r="D942" s="0" t="n">
        <v>16</v>
      </c>
      <c r="E942" s="0" t="n">
        <v>963564.37</v>
      </c>
    </row>
    <row r="943" customFormat="false" ht="15" hidden="false" customHeight="false" outlineLevel="0" collapsed="false">
      <c r="A943" s="0" t="s">
        <v>997</v>
      </c>
      <c r="B943" s="0" t="s">
        <v>36</v>
      </c>
      <c r="C943" s="0" t="s">
        <v>41</v>
      </c>
      <c r="D943" s="0" t="n">
        <v>42</v>
      </c>
      <c r="E943" s="0" t="n">
        <v>735811.97</v>
      </c>
    </row>
    <row r="944" customFormat="false" ht="15" hidden="false" customHeight="false" outlineLevel="0" collapsed="false">
      <c r="A944" s="0" t="s">
        <v>998</v>
      </c>
      <c r="B944" s="0" t="s">
        <v>36</v>
      </c>
      <c r="C944" s="0" t="s">
        <v>68</v>
      </c>
      <c r="D944" s="0" t="n">
        <v>78</v>
      </c>
      <c r="E944" s="0" t="n">
        <v>313294.92</v>
      </c>
    </row>
    <row r="945" customFormat="false" ht="15" hidden="false" customHeight="false" outlineLevel="0" collapsed="false">
      <c r="A945" s="0" t="s">
        <v>999</v>
      </c>
      <c r="B945" s="0" t="s">
        <v>36</v>
      </c>
      <c r="C945" s="0" t="s">
        <v>44</v>
      </c>
      <c r="D945" s="0" t="n">
        <v>27</v>
      </c>
      <c r="E945" s="0" t="n">
        <v>366427.39</v>
      </c>
    </row>
    <row r="946" customFormat="false" ht="15" hidden="false" customHeight="false" outlineLevel="0" collapsed="false">
      <c r="A946" s="0" t="s">
        <v>1000</v>
      </c>
      <c r="B946" s="0" t="s">
        <v>49</v>
      </c>
      <c r="C946" s="0" t="s">
        <v>64</v>
      </c>
      <c r="D946" s="0" t="n">
        <v>21</v>
      </c>
      <c r="E946" s="0" t="n">
        <v>1102978.98</v>
      </c>
    </row>
    <row r="947" customFormat="false" ht="15" hidden="false" customHeight="false" outlineLevel="0" collapsed="false">
      <c r="A947" s="0" t="s">
        <v>1001</v>
      </c>
      <c r="B947" s="0" t="s">
        <v>36</v>
      </c>
      <c r="C947" s="0" t="s">
        <v>37</v>
      </c>
      <c r="D947" s="0" t="n">
        <v>88</v>
      </c>
      <c r="E947" s="0" t="n">
        <v>802872.07</v>
      </c>
    </row>
    <row r="948" customFormat="false" ht="15" hidden="false" customHeight="false" outlineLevel="0" collapsed="false">
      <c r="A948" s="0" t="s">
        <v>1002</v>
      </c>
      <c r="B948" s="0" t="s">
        <v>49</v>
      </c>
      <c r="C948" s="0" t="s">
        <v>68</v>
      </c>
      <c r="D948" s="0" t="n">
        <v>48</v>
      </c>
      <c r="E948" s="0" t="n">
        <v>1089350.58</v>
      </c>
    </row>
    <row r="949" customFormat="false" ht="15" hidden="false" customHeight="false" outlineLevel="0" collapsed="false">
      <c r="A949" s="0" t="s">
        <v>1003</v>
      </c>
      <c r="B949" s="0" t="s">
        <v>49</v>
      </c>
      <c r="C949" s="0" t="s">
        <v>44</v>
      </c>
      <c r="D949" s="0" t="n">
        <v>52</v>
      </c>
      <c r="E949" s="0" t="n">
        <v>1040261.84</v>
      </c>
    </row>
    <row r="950" customFormat="false" ht="15" hidden="false" customHeight="false" outlineLevel="0" collapsed="false">
      <c r="A950" s="0" t="s">
        <v>1004</v>
      </c>
      <c r="B950" s="0" t="s">
        <v>49</v>
      </c>
      <c r="C950" s="0" t="s">
        <v>53</v>
      </c>
      <c r="D950" s="0" t="n">
        <v>12</v>
      </c>
      <c r="E950" s="0" t="n">
        <v>661650.93</v>
      </c>
    </row>
    <row r="951" customFormat="false" ht="15" hidden="false" customHeight="false" outlineLevel="0" collapsed="false">
      <c r="A951" s="0" t="s">
        <v>1005</v>
      </c>
      <c r="B951" s="0" t="s">
        <v>36</v>
      </c>
      <c r="C951" s="0" t="s">
        <v>50</v>
      </c>
      <c r="D951" s="0" t="n">
        <v>89</v>
      </c>
      <c r="E951" s="0" t="n">
        <v>373257.15</v>
      </c>
    </row>
    <row r="952" customFormat="false" ht="15" hidden="false" customHeight="false" outlineLevel="0" collapsed="false">
      <c r="A952" s="0" t="s">
        <v>1006</v>
      </c>
      <c r="B952" s="0" t="s">
        <v>36</v>
      </c>
      <c r="C952" s="0" t="s">
        <v>81</v>
      </c>
      <c r="D952" s="0" t="n">
        <v>94</v>
      </c>
      <c r="E952" s="0" t="n">
        <v>443703.77</v>
      </c>
    </row>
    <row r="953" customFormat="false" ht="15" hidden="false" customHeight="false" outlineLevel="0" collapsed="false">
      <c r="A953" s="0" t="s">
        <v>1007</v>
      </c>
      <c r="B953" s="0" t="s">
        <v>36</v>
      </c>
      <c r="C953" s="0" t="s">
        <v>41</v>
      </c>
      <c r="D953" s="0" t="n">
        <v>69</v>
      </c>
      <c r="E953" s="0" t="n">
        <v>314748.48</v>
      </c>
    </row>
    <row r="954" customFormat="false" ht="15" hidden="false" customHeight="false" outlineLevel="0" collapsed="false">
      <c r="A954" s="0" t="s">
        <v>1008</v>
      </c>
      <c r="B954" s="0" t="s">
        <v>49</v>
      </c>
      <c r="C954" s="0" t="s">
        <v>41</v>
      </c>
      <c r="D954" s="0" t="n">
        <v>10</v>
      </c>
      <c r="E954" s="0" t="n">
        <v>797765.17</v>
      </c>
    </row>
    <row r="955" customFormat="false" ht="15" hidden="false" customHeight="false" outlineLevel="0" collapsed="false">
      <c r="A955" s="0" t="s">
        <v>1009</v>
      </c>
      <c r="B955" s="0" t="s">
        <v>36</v>
      </c>
      <c r="C955" s="0" t="s">
        <v>37</v>
      </c>
      <c r="D955" s="0" t="n">
        <v>22</v>
      </c>
      <c r="E955" s="0" t="n">
        <v>751525.85</v>
      </c>
    </row>
    <row r="956" customFormat="false" ht="15" hidden="false" customHeight="false" outlineLevel="0" collapsed="false">
      <c r="A956" s="0" t="s">
        <v>1010</v>
      </c>
      <c r="B956" s="0" t="s">
        <v>36</v>
      </c>
      <c r="C956" s="0" t="s">
        <v>64</v>
      </c>
      <c r="D956" s="0" t="n">
        <v>4</v>
      </c>
      <c r="E956" s="0" t="n">
        <v>502378.6</v>
      </c>
    </row>
    <row r="957" customFormat="false" ht="15" hidden="false" customHeight="false" outlineLevel="0" collapsed="false">
      <c r="A957" s="0" t="s">
        <v>1011</v>
      </c>
      <c r="B957" s="0" t="s">
        <v>66</v>
      </c>
      <c r="C957" s="0" t="s">
        <v>64</v>
      </c>
      <c r="D957" s="0" t="n">
        <v>17</v>
      </c>
      <c r="E957" s="0" t="n">
        <v>3365319.25</v>
      </c>
    </row>
    <row r="958" customFormat="false" ht="15" hidden="false" customHeight="false" outlineLevel="0" collapsed="false">
      <c r="A958" s="0" t="s">
        <v>1012</v>
      </c>
      <c r="B958" s="0" t="s">
        <v>49</v>
      </c>
      <c r="C958" s="0" t="s">
        <v>53</v>
      </c>
      <c r="D958" s="0" t="n">
        <v>31</v>
      </c>
      <c r="E958" s="0" t="n">
        <v>495051.75</v>
      </c>
    </row>
    <row r="959" customFormat="false" ht="15" hidden="false" customHeight="false" outlineLevel="0" collapsed="false">
      <c r="A959" s="0" t="s">
        <v>1013</v>
      </c>
      <c r="B959" s="0" t="s">
        <v>40</v>
      </c>
      <c r="C959" s="0" t="s">
        <v>50</v>
      </c>
      <c r="D959" s="0" t="n">
        <v>74</v>
      </c>
      <c r="E959" s="0" t="n">
        <v>1246633.54</v>
      </c>
    </row>
    <row r="960" customFormat="false" ht="15" hidden="false" customHeight="false" outlineLevel="0" collapsed="false">
      <c r="A960" s="0" t="s">
        <v>1014</v>
      </c>
      <c r="B960" s="0" t="s">
        <v>40</v>
      </c>
      <c r="C960" s="0" t="s">
        <v>76</v>
      </c>
      <c r="D960" s="0" t="n">
        <v>90</v>
      </c>
      <c r="E960" s="0" t="n">
        <v>1323672.23</v>
      </c>
    </row>
    <row r="961" customFormat="false" ht="15" hidden="false" customHeight="false" outlineLevel="0" collapsed="false">
      <c r="A961" s="0" t="s">
        <v>1015</v>
      </c>
      <c r="B961" s="0" t="s">
        <v>40</v>
      </c>
      <c r="C961" s="0" t="s">
        <v>44</v>
      </c>
      <c r="D961" s="0" t="n">
        <v>91</v>
      </c>
      <c r="E961" s="0" t="n">
        <v>861934.09</v>
      </c>
    </row>
    <row r="962" customFormat="false" ht="15" hidden="false" customHeight="false" outlineLevel="0" collapsed="false">
      <c r="A962" s="0" t="s">
        <v>1016</v>
      </c>
      <c r="B962" s="0" t="s">
        <v>36</v>
      </c>
      <c r="C962" s="0" t="s">
        <v>81</v>
      </c>
      <c r="D962" s="0" t="n">
        <v>62</v>
      </c>
      <c r="E962" s="0" t="n">
        <v>506356.32</v>
      </c>
    </row>
    <row r="963" customFormat="false" ht="15" hidden="false" customHeight="false" outlineLevel="0" collapsed="false">
      <c r="A963" s="0" t="s">
        <v>1017</v>
      </c>
      <c r="B963" s="0" t="s">
        <v>66</v>
      </c>
      <c r="C963" s="0" t="s">
        <v>53</v>
      </c>
      <c r="D963" s="0" t="n">
        <v>89</v>
      </c>
      <c r="E963" s="0" t="n">
        <v>2172389.69</v>
      </c>
    </row>
    <row r="964" customFormat="false" ht="15" hidden="false" customHeight="false" outlineLevel="0" collapsed="false">
      <c r="A964" s="0" t="s">
        <v>1018</v>
      </c>
      <c r="B964" s="0" t="s">
        <v>40</v>
      </c>
      <c r="C964" s="0" t="s">
        <v>53</v>
      </c>
      <c r="D964" s="0" t="n">
        <v>45</v>
      </c>
      <c r="E964" s="0" t="n">
        <v>942651.59</v>
      </c>
    </row>
    <row r="965" customFormat="false" ht="15" hidden="false" customHeight="false" outlineLevel="0" collapsed="false">
      <c r="A965" s="0" t="s">
        <v>1019</v>
      </c>
      <c r="B965" s="0" t="s">
        <v>36</v>
      </c>
      <c r="C965" s="0" t="s">
        <v>68</v>
      </c>
      <c r="D965" s="0" t="n">
        <v>16</v>
      </c>
      <c r="E965" s="0" t="n">
        <v>613166.93</v>
      </c>
    </row>
    <row r="966" customFormat="false" ht="15" hidden="false" customHeight="false" outlineLevel="0" collapsed="false">
      <c r="A966" s="0" t="s">
        <v>1020</v>
      </c>
      <c r="B966" s="0" t="s">
        <v>36</v>
      </c>
      <c r="C966" s="0" t="s">
        <v>89</v>
      </c>
      <c r="D966" s="0" t="n">
        <v>17</v>
      </c>
      <c r="E966" s="0" t="n">
        <v>488812.44</v>
      </c>
    </row>
    <row r="967" customFormat="false" ht="15" hidden="false" customHeight="false" outlineLevel="0" collapsed="false">
      <c r="A967" s="0" t="s">
        <v>1021</v>
      </c>
      <c r="B967" s="0" t="s">
        <v>49</v>
      </c>
      <c r="C967" s="0" t="s">
        <v>53</v>
      </c>
      <c r="D967" s="0" t="n">
        <v>79</v>
      </c>
      <c r="E967" s="0" t="n">
        <v>401723.27</v>
      </c>
    </row>
    <row r="968" customFormat="false" ht="15" hidden="false" customHeight="false" outlineLevel="0" collapsed="false">
      <c r="A968" s="0" t="s">
        <v>1022</v>
      </c>
      <c r="B968" s="0" t="s">
        <v>49</v>
      </c>
      <c r="C968" s="0" t="s">
        <v>64</v>
      </c>
      <c r="D968" s="0" t="n">
        <v>15</v>
      </c>
      <c r="E968" s="0" t="n">
        <v>1073529.05</v>
      </c>
    </row>
    <row r="969" customFormat="false" ht="15" hidden="false" customHeight="false" outlineLevel="0" collapsed="false">
      <c r="A969" s="0" t="s">
        <v>1023</v>
      </c>
      <c r="B969" s="0" t="s">
        <v>49</v>
      </c>
      <c r="C969" s="0" t="s">
        <v>53</v>
      </c>
      <c r="D969" s="0" t="n">
        <v>14</v>
      </c>
      <c r="E969" s="0" t="n">
        <v>576010.72</v>
      </c>
    </row>
    <row r="970" customFormat="false" ht="15" hidden="false" customHeight="false" outlineLevel="0" collapsed="false">
      <c r="A970" s="0" t="s">
        <v>1024</v>
      </c>
      <c r="B970" s="0" t="s">
        <v>36</v>
      </c>
      <c r="C970" s="0" t="s">
        <v>41</v>
      </c>
      <c r="D970" s="0" t="n">
        <v>76</v>
      </c>
      <c r="E970" s="0" t="n">
        <v>885718.75</v>
      </c>
    </row>
    <row r="971" customFormat="false" ht="15" hidden="false" customHeight="false" outlineLevel="0" collapsed="false">
      <c r="A971" s="0" t="s">
        <v>1025</v>
      </c>
      <c r="B971" s="0" t="s">
        <v>49</v>
      </c>
      <c r="C971" s="0" t="s">
        <v>44</v>
      </c>
      <c r="D971" s="0" t="n">
        <v>14</v>
      </c>
      <c r="E971" s="0" t="n">
        <v>1021697.86</v>
      </c>
    </row>
    <row r="972" customFormat="false" ht="15" hidden="false" customHeight="false" outlineLevel="0" collapsed="false">
      <c r="A972" s="0" t="s">
        <v>1026</v>
      </c>
      <c r="B972" s="0" t="s">
        <v>36</v>
      </c>
      <c r="C972" s="0" t="s">
        <v>68</v>
      </c>
      <c r="D972" s="0" t="n">
        <v>12</v>
      </c>
      <c r="E972" s="0" t="n">
        <v>483957.97</v>
      </c>
    </row>
    <row r="973" customFormat="false" ht="15" hidden="false" customHeight="false" outlineLevel="0" collapsed="false">
      <c r="A973" s="0" t="s">
        <v>1027</v>
      </c>
      <c r="B973" s="0" t="s">
        <v>40</v>
      </c>
      <c r="C973" s="0" t="s">
        <v>76</v>
      </c>
      <c r="D973" s="0" t="n">
        <v>39</v>
      </c>
      <c r="E973" s="0" t="n">
        <v>1600580.45</v>
      </c>
    </row>
    <row r="974" customFormat="false" ht="15" hidden="false" customHeight="false" outlineLevel="0" collapsed="false">
      <c r="A974" s="0" t="s">
        <v>1028</v>
      </c>
      <c r="B974" s="0" t="s">
        <v>49</v>
      </c>
      <c r="C974" s="0" t="s">
        <v>64</v>
      </c>
      <c r="D974" s="0" t="n">
        <v>81</v>
      </c>
      <c r="E974" s="0" t="n">
        <v>726493.29</v>
      </c>
    </row>
    <row r="975" customFormat="false" ht="15" hidden="false" customHeight="false" outlineLevel="0" collapsed="false">
      <c r="A975" s="0" t="s">
        <v>1029</v>
      </c>
      <c r="B975" s="0" t="s">
        <v>36</v>
      </c>
      <c r="C975" s="0" t="s">
        <v>44</v>
      </c>
      <c r="D975" s="0" t="n">
        <v>76</v>
      </c>
      <c r="E975" s="0" t="n">
        <v>396722.92</v>
      </c>
    </row>
    <row r="976" customFormat="false" ht="15" hidden="false" customHeight="false" outlineLevel="0" collapsed="false">
      <c r="A976" s="0" t="s">
        <v>1030</v>
      </c>
      <c r="B976" s="0" t="s">
        <v>36</v>
      </c>
      <c r="C976" s="0" t="s">
        <v>53</v>
      </c>
      <c r="D976" s="0" t="n">
        <v>91</v>
      </c>
      <c r="E976" s="0" t="n">
        <v>493130.51</v>
      </c>
    </row>
    <row r="977" customFormat="false" ht="15" hidden="false" customHeight="false" outlineLevel="0" collapsed="false">
      <c r="A977" s="0" t="s">
        <v>1031</v>
      </c>
      <c r="B977" s="0" t="s">
        <v>36</v>
      </c>
      <c r="C977" s="0" t="s">
        <v>64</v>
      </c>
      <c r="D977" s="0" t="n">
        <v>53</v>
      </c>
      <c r="E977" s="0" t="n">
        <v>395067.44</v>
      </c>
    </row>
    <row r="978" customFormat="false" ht="15" hidden="false" customHeight="false" outlineLevel="0" collapsed="false">
      <c r="A978" s="0" t="s">
        <v>1032</v>
      </c>
      <c r="B978" s="0" t="s">
        <v>36</v>
      </c>
      <c r="C978" s="0" t="s">
        <v>64</v>
      </c>
      <c r="D978" s="0" t="n">
        <v>38</v>
      </c>
      <c r="E978" s="0" t="n">
        <v>672300.11</v>
      </c>
    </row>
    <row r="979" customFormat="false" ht="15" hidden="false" customHeight="false" outlineLevel="0" collapsed="false">
      <c r="A979" s="0" t="s">
        <v>1033</v>
      </c>
      <c r="B979" s="0" t="s">
        <v>36</v>
      </c>
      <c r="C979" s="0" t="s">
        <v>64</v>
      </c>
      <c r="D979" s="0" t="n">
        <v>4</v>
      </c>
      <c r="E979" s="0" t="n">
        <v>474489.72</v>
      </c>
    </row>
    <row r="980" customFormat="false" ht="15" hidden="false" customHeight="false" outlineLevel="0" collapsed="false">
      <c r="A980" s="0" t="s">
        <v>1034</v>
      </c>
      <c r="B980" s="0" t="s">
        <v>40</v>
      </c>
      <c r="C980" s="0" t="s">
        <v>44</v>
      </c>
      <c r="D980" s="0" t="n">
        <v>22</v>
      </c>
      <c r="E980" s="0" t="n">
        <v>1140193.69</v>
      </c>
    </row>
    <row r="981" customFormat="false" ht="15" hidden="false" customHeight="false" outlineLevel="0" collapsed="false">
      <c r="A981" s="0" t="s">
        <v>1035</v>
      </c>
      <c r="B981" s="0" t="s">
        <v>36</v>
      </c>
      <c r="C981" s="0" t="s">
        <v>89</v>
      </c>
      <c r="D981" s="0" t="n">
        <v>70</v>
      </c>
      <c r="E981" s="0" t="n">
        <v>528614.14</v>
      </c>
    </row>
    <row r="982" customFormat="false" ht="15" hidden="false" customHeight="false" outlineLevel="0" collapsed="false">
      <c r="A982" s="0" t="s">
        <v>1036</v>
      </c>
      <c r="B982" s="0" t="s">
        <v>40</v>
      </c>
      <c r="C982" s="0" t="s">
        <v>53</v>
      </c>
      <c r="D982" s="0" t="n">
        <v>48</v>
      </c>
      <c r="E982" s="0" t="n">
        <v>1747025.17</v>
      </c>
    </row>
    <row r="983" customFormat="false" ht="15" hidden="false" customHeight="false" outlineLevel="0" collapsed="false">
      <c r="A983" s="0" t="s">
        <v>1037</v>
      </c>
      <c r="B983" s="0" t="s">
        <v>36</v>
      </c>
      <c r="C983" s="0" t="s">
        <v>37</v>
      </c>
      <c r="D983" s="0" t="n">
        <v>53</v>
      </c>
      <c r="E983" s="0" t="n">
        <v>747400.1</v>
      </c>
    </row>
    <row r="984" customFormat="false" ht="15" hidden="false" customHeight="false" outlineLevel="0" collapsed="false">
      <c r="A984" s="0" t="s">
        <v>1038</v>
      </c>
      <c r="B984" s="0" t="s">
        <v>49</v>
      </c>
      <c r="C984" s="0" t="s">
        <v>41</v>
      </c>
      <c r="D984" s="0" t="n">
        <v>27</v>
      </c>
      <c r="E984" s="0" t="n">
        <v>1084185.62</v>
      </c>
    </row>
    <row r="985" customFormat="false" ht="15" hidden="false" customHeight="false" outlineLevel="0" collapsed="false">
      <c r="A985" s="0" t="s">
        <v>1039</v>
      </c>
      <c r="B985" s="0" t="s">
        <v>36</v>
      </c>
      <c r="C985" s="0" t="s">
        <v>53</v>
      </c>
      <c r="D985" s="0" t="n">
        <v>30</v>
      </c>
      <c r="E985" s="0" t="n">
        <v>727001.59</v>
      </c>
    </row>
    <row r="986" customFormat="false" ht="15" hidden="false" customHeight="false" outlineLevel="0" collapsed="false">
      <c r="A986" s="0" t="s">
        <v>1040</v>
      </c>
      <c r="B986" s="0" t="s">
        <v>36</v>
      </c>
      <c r="C986" s="0" t="s">
        <v>64</v>
      </c>
      <c r="D986" s="0" t="n">
        <v>53</v>
      </c>
      <c r="E986" s="0" t="n">
        <v>489580.52</v>
      </c>
    </row>
    <row r="987" customFormat="false" ht="15" hidden="false" customHeight="false" outlineLevel="0" collapsed="false">
      <c r="A987" s="0" t="s">
        <v>1041</v>
      </c>
      <c r="B987" s="0" t="s">
        <v>36</v>
      </c>
      <c r="C987" s="0" t="s">
        <v>53</v>
      </c>
      <c r="D987" s="0" t="n">
        <v>77</v>
      </c>
      <c r="E987" s="0" t="n">
        <v>423371.63</v>
      </c>
    </row>
    <row r="988" customFormat="false" ht="15" hidden="false" customHeight="false" outlineLevel="0" collapsed="false">
      <c r="A988" s="0" t="s">
        <v>1042</v>
      </c>
      <c r="B988" s="0" t="s">
        <v>36</v>
      </c>
      <c r="C988" s="0" t="s">
        <v>53</v>
      </c>
      <c r="D988" s="0" t="n">
        <v>75</v>
      </c>
      <c r="E988" s="0" t="n">
        <v>329803.41</v>
      </c>
    </row>
    <row r="989" customFormat="false" ht="15" hidden="false" customHeight="false" outlineLevel="0" collapsed="false">
      <c r="A989" s="0" t="s">
        <v>1043</v>
      </c>
      <c r="B989" s="0" t="s">
        <v>49</v>
      </c>
      <c r="C989" s="0" t="s">
        <v>64</v>
      </c>
      <c r="D989" s="0" t="n">
        <v>53</v>
      </c>
      <c r="E989" s="0" t="n">
        <v>656739.65</v>
      </c>
    </row>
    <row r="990" customFormat="false" ht="15" hidden="false" customHeight="false" outlineLevel="0" collapsed="false">
      <c r="A990" s="0" t="s">
        <v>1044</v>
      </c>
      <c r="B990" s="0" t="s">
        <v>36</v>
      </c>
      <c r="C990" s="0" t="s">
        <v>44</v>
      </c>
      <c r="D990" s="0" t="n">
        <v>72</v>
      </c>
      <c r="E990" s="0" t="n">
        <v>350652.26</v>
      </c>
    </row>
    <row r="991" customFormat="false" ht="15" hidden="false" customHeight="false" outlineLevel="0" collapsed="false">
      <c r="A991" s="0" t="s">
        <v>1045</v>
      </c>
      <c r="B991" s="0" t="s">
        <v>36</v>
      </c>
      <c r="C991" s="0" t="s">
        <v>89</v>
      </c>
      <c r="D991" s="0" t="n">
        <v>37</v>
      </c>
      <c r="E991" s="0" t="n">
        <v>698217.16</v>
      </c>
    </row>
    <row r="992" customFormat="false" ht="15" hidden="false" customHeight="false" outlineLevel="0" collapsed="false">
      <c r="A992" s="0" t="s">
        <v>1046</v>
      </c>
      <c r="B992" s="0" t="s">
        <v>49</v>
      </c>
      <c r="C992" s="0" t="s">
        <v>64</v>
      </c>
      <c r="D992" s="0" t="n">
        <v>8</v>
      </c>
      <c r="E992" s="0" t="n">
        <v>865856.11</v>
      </c>
    </row>
    <row r="993" customFormat="false" ht="15" hidden="false" customHeight="false" outlineLevel="0" collapsed="false">
      <c r="A993" s="0" t="s">
        <v>1047</v>
      </c>
      <c r="B993" s="0" t="s">
        <v>36</v>
      </c>
      <c r="C993" s="0" t="s">
        <v>41</v>
      </c>
      <c r="D993" s="0" t="n">
        <v>52</v>
      </c>
      <c r="E993" s="0" t="n">
        <v>388170.35</v>
      </c>
    </row>
    <row r="994" customFormat="false" ht="15" hidden="false" customHeight="false" outlineLevel="0" collapsed="false">
      <c r="A994" s="0" t="s">
        <v>1048</v>
      </c>
      <c r="B994" s="0" t="s">
        <v>36</v>
      </c>
      <c r="C994" s="0" t="s">
        <v>44</v>
      </c>
      <c r="D994" s="0" t="n">
        <v>58</v>
      </c>
      <c r="E994" s="0" t="n">
        <v>771101.61</v>
      </c>
    </row>
    <row r="995" customFormat="false" ht="15" hidden="false" customHeight="false" outlineLevel="0" collapsed="false">
      <c r="A995" s="0" t="s">
        <v>1049</v>
      </c>
      <c r="B995" s="0" t="s">
        <v>36</v>
      </c>
      <c r="C995" s="0" t="s">
        <v>37</v>
      </c>
      <c r="D995" s="0" t="n">
        <v>30</v>
      </c>
      <c r="E995" s="0" t="n">
        <v>839693.23</v>
      </c>
    </row>
    <row r="996" customFormat="false" ht="15" hidden="false" customHeight="false" outlineLevel="0" collapsed="false">
      <c r="A996" s="0" t="s">
        <v>1050</v>
      </c>
      <c r="B996" s="0" t="s">
        <v>36</v>
      </c>
      <c r="C996" s="0" t="s">
        <v>68</v>
      </c>
      <c r="D996" s="0" t="n">
        <v>75</v>
      </c>
      <c r="E996" s="0" t="n">
        <v>339102.55</v>
      </c>
    </row>
    <row r="997" customFormat="false" ht="15" hidden="false" customHeight="false" outlineLevel="0" collapsed="false">
      <c r="A997" s="0" t="s">
        <v>1051</v>
      </c>
      <c r="B997" s="0" t="s">
        <v>49</v>
      </c>
      <c r="C997" s="0" t="s">
        <v>53</v>
      </c>
      <c r="D997" s="0" t="n">
        <v>9</v>
      </c>
      <c r="E997" s="0" t="n">
        <v>478718.62</v>
      </c>
    </row>
    <row r="998" customFormat="false" ht="15" hidden="false" customHeight="false" outlineLevel="0" collapsed="false">
      <c r="A998" s="0" t="s">
        <v>1052</v>
      </c>
      <c r="B998" s="0" t="s">
        <v>36</v>
      </c>
      <c r="C998" s="0" t="s">
        <v>76</v>
      </c>
      <c r="D998" s="0" t="n">
        <v>11</v>
      </c>
      <c r="E998" s="0" t="n">
        <v>393319.67</v>
      </c>
    </row>
    <row r="999" customFormat="false" ht="15" hidden="false" customHeight="false" outlineLevel="0" collapsed="false">
      <c r="A999" s="0" t="s">
        <v>1053</v>
      </c>
      <c r="B999" s="0" t="s">
        <v>36</v>
      </c>
      <c r="C999" s="0" t="s">
        <v>44</v>
      </c>
      <c r="D999" s="0" t="n">
        <v>14</v>
      </c>
      <c r="E999" s="0" t="n">
        <v>513788.81</v>
      </c>
    </row>
    <row r="1000" customFormat="false" ht="15" hidden="false" customHeight="false" outlineLevel="0" collapsed="false">
      <c r="A1000" s="0" t="s">
        <v>1054</v>
      </c>
      <c r="B1000" s="0" t="s">
        <v>36</v>
      </c>
      <c r="C1000" s="0" t="s">
        <v>50</v>
      </c>
      <c r="D1000" s="0" t="n">
        <v>17</v>
      </c>
      <c r="E1000" s="0" t="n">
        <v>365251.06</v>
      </c>
    </row>
    <row r="1001" customFormat="false" ht="15" hidden="false" customHeight="false" outlineLevel="0" collapsed="false">
      <c r="A1001" s="0" t="s">
        <v>1055</v>
      </c>
      <c r="B1001" s="0" t="s">
        <v>36</v>
      </c>
      <c r="C1001" s="0" t="s">
        <v>53</v>
      </c>
      <c r="D1001" s="0" t="n">
        <v>37</v>
      </c>
      <c r="E1001" s="0" t="n">
        <v>716738.67</v>
      </c>
    </row>
    <row r="1002" customFormat="false" ht="15" hidden="false" customHeight="false" outlineLevel="0" collapsed="false">
      <c r="A1002" s="0" t="s">
        <v>1056</v>
      </c>
      <c r="B1002" s="0" t="s">
        <v>49</v>
      </c>
      <c r="C1002" s="0" t="s">
        <v>53</v>
      </c>
      <c r="D1002" s="0" t="n">
        <v>75</v>
      </c>
      <c r="E1002" s="0" t="n">
        <v>433889.37</v>
      </c>
    </row>
    <row r="1003" customFormat="false" ht="15" hidden="false" customHeight="false" outlineLevel="0" collapsed="false">
      <c r="A1003" s="0" t="s">
        <v>1057</v>
      </c>
      <c r="B1003" s="0" t="s">
        <v>49</v>
      </c>
      <c r="C1003" s="0" t="s">
        <v>76</v>
      </c>
      <c r="D1003" s="0" t="n">
        <v>81</v>
      </c>
      <c r="E1003" s="0" t="n">
        <v>1073767.05</v>
      </c>
    </row>
    <row r="1004" customFormat="false" ht="15" hidden="false" customHeight="false" outlineLevel="0" collapsed="false">
      <c r="A1004" s="0" t="s">
        <v>1058</v>
      </c>
      <c r="B1004" s="0" t="s">
        <v>49</v>
      </c>
      <c r="C1004" s="0" t="s">
        <v>89</v>
      </c>
      <c r="D1004" s="0" t="n">
        <v>88</v>
      </c>
      <c r="E1004" s="0" t="n">
        <v>481302.75</v>
      </c>
    </row>
    <row r="1005" customFormat="false" ht="15" hidden="false" customHeight="false" outlineLevel="0" collapsed="false">
      <c r="A1005" s="0" t="s">
        <v>1059</v>
      </c>
      <c r="B1005" s="0" t="s">
        <v>49</v>
      </c>
      <c r="C1005" s="0" t="s">
        <v>68</v>
      </c>
      <c r="D1005" s="0" t="n">
        <v>77</v>
      </c>
      <c r="E1005" s="0" t="n">
        <v>804013.64</v>
      </c>
    </row>
    <row r="1006" customFormat="false" ht="15" hidden="false" customHeight="false" outlineLevel="0" collapsed="false">
      <c r="A1006" s="0" t="s">
        <v>1060</v>
      </c>
      <c r="B1006" s="0" t="s">
        <v>36</v>
      </c>
      <c r="C1006" s="0" t="s">
        <v>64</v>
      </c>
      <c r="D1006" s="0" t="n">
        <v>34</v>
      </c>
      <c r="E1006" s="0" t="n">
        <v>506955.33</v>
      </c>
    </row>
    <row r="1007" customFormat="false" ht="15" hidden="false" customHeight="false" outlineLevel="0" collapsed="false">
      <c r="A1007" s="0" t="s">
        <v>1061</v>
      </c>
      <c r="B1007" s="0" t="s">
        <v>36</v>
      </c>
      <c r="C1007" s="0" t="s">
        <v>81</v>
      </c>
      <c r="D1007" s="0" t="n">
        <v>23</v>
      </c>
      <c r="E1007" s="0" t="n">
        <v>772337.79</v>
      </c>
    </row>
    <row r="1008" customFormat="false" ht="15" hidden="false" customHeight="false" outlineLevel="0" collapsed="false">
      <c r="A1008" s="0" t="s">
        <v>1062</v>
      </c>
      <c r="B1008" s="0" t="s">
        <v>40</v>
      </c>
      <c r="C1008" s="0" t="s">
        <v>53</v>
      </c>
      <c r="D1008" s="0" t="n">
        <v>81</v>
      </c>
      <c r="E1008" s="0" t="n">
        <v>718159.73</v>
      </c>
    </row>
    <row r="1009" customFormat="false" ht="15" hidden="false" customHeight="false" outlineLevel="0" collapsed="false">
      <c r="A1009" s="0" t="s">
        <v>1063</v>
      </c>
      <c r="B1009" s="0" t="s">
        <v>66</v>
      </c>
      <c r="C1009" s="0" t="s">
        <v>53</v>
      </c>
      <c r="D1009" s="0" t="n">
        <v>89</v>
      </c>
      <c r="E1009" s="0" t="n">
        <v>2351798.57</v>
      </c>
    </row>
    <row r="1010" customFormat="false" ht="15" hidden="false" customHeight="false" outlineLevel="0" collapsed="false">
      <c r="A1010" s="0" t="s">
        <v>1064</v>
      </c>
      <c r="B1010" s="0" t="s">
        <v>49</v>
      </c>
      <c r="C1010" s="0" t="s">
        <v>41</v>
      </c>
      <c r="D1010" s="0" t="n">
        <v>26</v>
      </c>
      <c r="E1010" s="0" t="n">
        <v>796214.67</v>
      </c>
    </row>
    <row r="1011" customFormat="false" ht="15" hidden="false" customHeight="false" outlineLevel="0" collapsed="false">
      <c r="A1011" s="0" t="s">
        <v>1065</v>
      </c>
      <c r="B1011" s="0" t="s">
        <v>40</v>
      </c>
      <c r="C1011" s="0" t="s">
        <v>44</v>
      </c>
      <c r="D1011" s="0" t="n">
        <v>69</v>
      </c>
      <c r="E1011" s="0" t="n">
        <v>1789827.74</v>
      </c>
    </row>
    <row r="1012" customFormat="false" ht="15" hidden="false" customHeight="false" outlineLevel="0" collapsed="false">
      <c r="A1012" s="0" t="s">
        <v>1066</v>
      </c>
      <c r="B1012" s="0" t="s">
        <v>49</v>
      </c>
      <c r="C1012" s="0" t="s">
        <v>89</v>
      </c>
      <c r="D1012" s="0" t="n">
        <v>92</v>
      </c>
      <c r="E1012" s="0" t="n">
        <v>678641.89</v>
      </c>
    </row>
    <row r="1013" customFormat="false" ht="15" hidden="false" customHeight="false" outlineLevel="0" collapsed="false">
      <c r="A1013" s="0" t="s">
        <v>1067</v>
      </c>
      <c r="B1013" s="0" t="s">
        <v>36</v>
      </c>
      <c r="C1013" s="0" t="s">
        <v>64</v>
      </c>
      <c r="D1013" s="0" t="n">
        <v>84</v>
      </c>
      <c r="E1013" s="0" t="n">
        <v>640484.12</v>
      </c>
    </row>
    <row r="1014" customFormat="false" ht="15" hidden="false" customHeight="false" outlineLevel="0" collapsed="false">
      <c r="A1014" s="0" t="s">
        <v>1068</v>
      </c>
      <c r="B1014" s="0" t="s">
        <v>36</v>
      </c>
      <c r="C1014" s="0" t="s">
        <v>68</v>
      </c>
      <c r="D1014" s="0" t="n">
        <v>75</v>
      </c>
      <c r="E1014" s="0" t="n">
        <v>328678.82</v>
      </c>
    </row>
    <row r="1015" customFormat="false" ht="15" hidden="false" customHeight="false" outlineLevel="0" collapsed="false">
      <c r="A1015" s="0" t="s">
        <v>1069</v>
      </c>
      <c r="B1015" s="0" t="s">
        <v>49</v>
      </c>
      <c r="C1015" s="0" t="s">
        <v>50</v>
      </c>
      <c r="D1015" s="0" t="n">
        <v>37</v>
      </c>
      <c r="E1015" s="0" t="n">
        <v>1228275.67</v>
      </c>
    </row>
    <row r="1016" customFormat="false" ht="15" hidden="false" customHeight="false" outlineLevel="0" collapsed="false">
      <c r="A1016" s="0" t="s">
        <v>1070</v>
      </c>
      <c r="B1016" s="0" t="s">
        <v>40</v>
      </c>
      <c r="C1016" s="0" t="s">
        <v>64</v>
      </c>
      <c r="D1016" s="0" t="n">
        <v>65</v>
      </c>
      <c r="E1016" s="0" t="n">
        <v>2029028.89</v>
      </c>
    </row>
    <row r="1017" customFormat="false" ht="15" hidden="false" customHeight="false" outlineLevel="0" collapsed="false">
      <c r="A1017" s="0" t="s">
        <v>1071</v>
      </c>
      <c r="B1017" s="0" t="s">
        <v>36</v>
      </c>
      <c r="C1017" s="0" t="s">
        <v>76</v>
      </c>
      <c r="D1017" s="0" t="n">
        <v>5</v>
      </c>
      <c r="E1017" s="0" t="n">
        <v>807649.85</v>
      </c>
    </row>
    <row r="1018" customFormat="false" ht="15" hidden="false" customHeight="false" outlineLevel="0" collapsed="false">
      <c r="A1018" s="0" t="s">
        <v>1072</v>
      </c>
      <c r="B1018" s="0" t="s">
        <v>49</v>
      </c>
      <c r="C1018" s="0" t="s">
        <v>81</v>
      </c>
      <c r="D1018" s="0" t="n">
        <v>10</v>
      </c>
      <c r="E1018" s="0" t="n">
        <v>652811.94</v>
      </c>
    </row>
    <row r="1019" customFormat="false" ht="15" hidden="false" customHeight="false" outlineLevel="0" collapsed="false">
      <c r="A1019" s="0" t="s">
        <v>1073</v>
      </c>
      <c r="B1019" s="0" t="s">
        <v>66</v>
      </c>
      <c r="C1019" s="0" t="s">
        <v>64</v>
      </c>
      <c r="D1019" s="0" t="n">
        <v>50</v>
      </c>
      <c r="E1019" s="0" t="n">
        <v>3663831.65</v>
      </c>
    </row>
    <row r="1020" customFormat="false" ht="15" hidden="false" customHeight="false" outlineLevel="0" collapsed="false">
      <c r="A1020" s="0" t="s">
        <v>1074</v>
      </c>
      <c r="B1020" s="0" t="s">
        <v>49</v>
      </c>
      <c r="C1020" s="0" t="s">
        <v>53</v>
      </c>
      <c r="D1020" s="0" t="n">
        <v>45</v>
      </c>
      <c r="E1020" s="0" t="n">
        <v>495646.93</v>
      </c>
    </row>
    <row r="1021" customFormat="false" ht="15" hidden="false" customHeight="false" outlineLevel="0" collapsed="false">
      <c r="A1021" s="0" t="s">
        <v>1075</v>
      </c>
      <c r="B1021" s="0" t="s">
        <v>36</v>
      </c>
      <c r="C1021" s="0" t="s">
        <v>41</v>
      </c>
      <c r="D1021" s="0" t="n">
        <v>9</v>
      </c>
      <c r="E1021" s="0" t="n">
        <v>755750.63</v>
      </c>
    </row>
    <row r="1022" customFormat="false" ht="15" hidden="false" customHeight="false" outlineLevel="0" collapsed="false">
      <c r="A1022" s="0" t="s">
        <v>1076</v>
      </c>
      <c r="B1022" s="0" t="s">
        <v>66</v>
      </c>
      <c r="C1022" s="0" t="s">
        <v>41</v>
      </c>
      <c r="D1022" s="0" t="n">
        <v>3</v>
      </c>
      <c r="E1022" s="0" t="n">
        <v>2404460.57</v>
      </c>
    </row>
    <row r="1023" customFormat="false" ht="15" hidden="false" customHeight="false" outlineLevel="0" collapsed="false">
      <c r="A1023" s="0" t="s">
        <v>1077</v>
      </c>
      <c r="B1023" s="0" t="s">
        <v>36</v>
      </c>
      <c r="C1023" s="0" t="s">
        <v>81</v>
      </c>
      <c r="D1023" s="0" t="n">
        <v>45</v>
      </c>
      <c r="E1023" s="0" t="n">
        <v>716554.91</v>
      </c>
    </row>
    <row r="1024" customFormat="false" ht="15" hidden="false" customHeight="false" outlineLevel="0" collapsed="false">
      <c r="A1024" s="0" t="s">
        <v>1078</v>
      </c>
      <c r="B1024" s="0" t="s">
        <v>49</v>
      </c>
      <c r="C1024" s="0" t="s">
        <v>53</v>
      </c>
      <c r="D1024" s="0" t="n">
        <v>25</v>
      </c>
      <c r="E1024" s="0" t="n">
        <v>995795.03</v>
      </c>
    </row>
    <row r="1025" customFormat="false" ht="15" hidden="false" customHeight="false" outlineLevel="0" collapsed="false">
      <c r="A1025" s="0" t="s">
        <v>1079</v>
      </c>
      <c r="B1025" s="0" t="s">
        <v>49</v>
      </c>
      <c r="C1025" s="0" t="s">
        <v>41</v>
      </c>
      <c r="D1025" s="0" t="n">
        <v>80</v>
      </c>
      <c r="E1025" s="0" t="n">
        <v>573587.49</v>
      </c>
    </row>
    <row r="1026" customFormat="false" ht="15" hidden="false" customHeight="false" outlineLevel="0" collapsed="false">
      <c r="A1026" s="0" t="s">
        <v>1080</v>
      </c>
      <c r="B1026" s="0" t="s">
        <v>36</v>
      </c>
      <c r="C1026" s="0" t="s">
        <v>76</v>
      </c>
      <c r="D1026" s="0" t="n">
        <v>22</v>
      </c>
      <c r="E1026" s="0" t="n">
        <v>576977.85</v>
      </c>
    </row>
    <row r="1027" customFormat="false" ht="15" hidden="false" customHeight="false" outlineLevel="0" collapsed="false">
      <c r="A1027" s="0" t="s">
        <v>1081</v>
      </c>
      <c r="B1027" s="0" t="s">
        <v>49</v>
      </c>
      <c r="C1027" s="0" t="s">
        <v>89</v>
      </c>
      <c r="D1027" s="0" t="n">
        <v>52</v>
      </c>
      <c r="E1027" s="0" t="n">
        <v>953551.8</v>
      </c>
    </row>
    <row r="1028" customFormat="false" ht="15" hidden="false" customHeight="false" outlineLevel="0" collapsed="false">
      <c r="A1028" s="0" t="s">
        <v>1082</v>
      </c>
      <c r="B1028" s="0" t="s">
        <v>36</v>
      </c>
      <c r="C1028" s="0" t="s">
        <v>64</v>
      </c>
      <c r="D1028" s="0" t="n">
        <v>54</v>
      </c>
      <c r="E1028" s="0" t="n">
        <v>472241.25</v>
      </c>
    </row>
    <row r="1029" customFormat="false" ht="15" hidden="false" customHeight="false" outlineLevel="0" collapsed="false">
      <c r="A1029" s="0" t="s">
        <v>1083</v>
      </c>
      <c r="B1029" s="0" t="s">
        <v>36</v>
      </c>
      <c r="C1029" s="0" t="s">
        <v>81</v>
      </c>
      <c r="D1029" s="0" t="n">
        <v>67</v>
      </c>
      <c r="E1029" s="0" t="n">
        <v>588598.21</v>
      </c>
    </row>
    <row r="1030" customFormat="false" ht="15" hidden="false" customHeight="false" outlineLevel="0" collapsed="false">
      <c r="A1030" s="0" t="s">
        <v>1084</v>
      </c>
      <c r="B1030" s="0" t="s">
        <v>36</v>
      </c>
      <c r="C1030" s="0" t="s">
        <v>81</v>
      </c>
      <c r="D1030" s="0" t="n">
        <v>43</v>
      </c>
      <c r="E1030" s="0" t="n">
        <v>744005.74</v>
      </c>
    </row>
    <row r="1031" customFormat="false" ht="15" hidden="false" customHeight="false" outlineLevel="0" collapsed="false">
      <c r="A1031" s="0" t="s">
        <v>1085</v>
      </c>
      <c r="B1031" s="0" t="s">
        <v>49</v>
      </c>
      <c r="C1031" s="0" t="s">
        <v>76</v>
      </c>
      <c r="D1031" s="0" t="n">
        <v>32</v>
      </c>
      <c r="E1031" s="0" t="n">
        <v>1040156.18</v>
      </c>
    </row>
    <row r="1032" customFormat="false" ht="15" hidden="false" customHeight="false" outlineLevel="0" collapsed="false">
      <c r="A1032" s="0" t="s">
        <v>1086</v>
      </c>
      <c r="B1032" s="0" t="s">
        <v>40</v>
      </c>
      <c r="C1032" s="0" t="s">
        <v>53</v>
      </c>
      <c r="D1032" s="0" t="n">
        <v>82</v>
      </c>
      <c r="E1032" s="0" t="n">
        <v>1077233.71</v>
      </c>
    </row>
    <row r="1033" customFormat="false" ht="15" hidden="false" customHeight="false" outlineLevel="0" collapsed="false">
      <c r="A1033" s="0" t="s">
        <v>1087</v>
      </c>
      <c r="B1033" s="0" t="s">
        <v>36</v>
      </c>
      <c r="C1033" s="0" t="s">
        <v>64</v>
      </c>
      <c r="D1033" s="0" t="n">
        <v>49</v>
      </c>
      <c r="E1033" s="0" t="n">
        <v>587853.84</v>
      </c>
    </row>
    <row r="1034" customFormat="false" ht="15" hidden="false" customHeight="false" outlineLevel="0" collapsed="false">
      <c r="A1034" s="0" t="s">
        <v>1088</v>
      </c>
      <c r="B1034" s="0" t="s">
        <v>49</v>
      </c>
      <c r="C1034" s="0" t="s">
        <v>53</v>
      </c>
      <c r="D1034" s="0" t="n">
        <v>43</v>
      </c>
      <c r="E1034" s="0" t="n">
        <v>1115787.44</v>
      </c>
    </row>
    <row r="1035" customFormat="false" ht="15" hidden="false" customHeight="false" outlineLevel="0" collapsed="false">
      <c r="A1035" s="0" t="s">
        <v>1089</v>
      </c>
      <c r="B1035" s="0" t="s">
        <v>40</v>
      </c>
      <c r="C1035" s="0" t="s">
        <v>50</v>
      </c>
      <c r="D1035" s="0" t="n">
        <v>90</v>
      </c>
      <c r="E1035" s="0" t="n">
        <v>1506216.81</v>
      </c>
    </row>
    <row r="1036" customFormat="false" ht="15" hidden="false" customHeight="false" outlineLevel="0" collapsed="false">
      <c r="A1036" s="0" t="s">
        <v>1090</v>
      </c>
      <c r="B1036" s="0" t="s">
        <v>49</v>
      </c>
      <c r="C1036" s="0" t="s">
        <v>50</v>
      </c>
      <c r="D1036" s="0" t="n">
        <v>54</v>
      </c>
      <c r="E1036" s="0" t="n">
        <v>762009.12</v>
      </c>
    </row>
    <row r="1037" customFormat="false" ht="15" hidden="false" customHeight="false" outlineLevel="0" collapsed="false">
      <c r="A1037" s="0" t="s">
        <v>1091</v>
      </c>
      <c r="B1037" s="0" t="s">
        <v>36</v>
      </c>
      <c r="C1037" s="0" t="s">
        <v>81</v>
      </c>
      <c r="D1037" s="0" t="n">
        <v>53</v>
      </c>
      <c r="E1037" s="0" t="n">
        <v>325166.82</v>
      </c>
    </row>
    <row r="1038" customFormat="false" ht="15" hidden="false" customHeight="false" outlineLevel="0" collapsed="false">
      <c r="A1038" s="0" t="s">
        <v>1092</v>
      </c>
      <c r="B1038" s="0" t="s">
        <v>49</v>
      </c>
      <c r="C1038" s="0" t="s">
        <v>53</v>
      </c>
      <c r="D1038" s="0" t="n">
        <v>81</v>
      </c>
      <c r="E1038" s="0" t="n">
        <v>728817.44</v>
      </c>
    </row>
    <row r="1039" customFormat="false" ht="15" hidden="false" customHeight="false" outlineLevel="0" collapsed="false">
      <c r="A1039" s="0" t="s">
        <v>1093</v>
      </c>
      <c r="B1039" s="0" t="s">
        <v>36</v>
      </c>
      <c r="C1039" s="0" t="s">
        <v>44</v>
      </c>
      <c r="D1039" s="0" t="n">
        <v>40</v>
      </c>
      <c r="E1039" s="0" t="n">
        <v>476104.46</v>
      </c>
    </row>
    <row r="1040" customFormat="false" ht="15" hidden="false" customHeight="false" outlineLevel="0" collapsed="false">
      <c r="A1040" s="0" t="s">
        <v>1094</v>
      </c>
      <c r="B1040" s="0" t="s">
        <v>36</v>
      </c>
      <c r="C1040" s="0" t="s">
        <v>44</v>
      </c>
      <c r="D1040" s="0" t="n">
        <v>91</v>
      </c>
      <c r="E1040" s="0" t="n">
        <v>770324.59</v>
      </c>
    </row>
    <row r="1041" customFormat="false" ht="15" hidden="false" customHeight="false" outlineLevel="0" collapsed="false">
      <c r="A1041" s="0" t="s">
        <v>1095</v>
      </c>
      <c r="B1041" s="0" t="s">
        <v>40</v>
      </c>
      <c r="C1041" s="0" t="s">
        <v>53</v>
      </c>
      <c r="D1041" s="0" t="n">
        <v>79</v>
      </c>
      <c r="E1041" s="0" t="n">
        <v>1047845.03</v>
      </c>
    </row>
    <row r="1042" customFormat="false" ht="15" hidden="false" customHeight="false" outlineLevel="0" collapsed="false">
      <c r="A1042" s="0" t="s">
        <v>1096</v>
      </c>
      <c r="B1042" s="0" t="s">
        <v>66</v>
      </c>
      <c r="C1042" s="0" t="s">
        <v>68</v>
      </c>
      <c r="D1042" s="0" t="n">
        <v>51</v>
      </c>
      <c r="E1042" s="0" t="n">
        <v>3565510.96</v>
      </c>
    </row>
    <row r="1043" customFormat="false" ht="15" hidden="false" customHeight="false" outlineLevel="0" collapsed="false">
      <c r="A1043" s="0" t="s">
        <v>1097</v>
      </c>
      <c r="B1043" s="0" t="s">
        <v>49</v>
      </c>
      <c r="C1043" s="0" t="s">
        <v>53</v>
      </c>
      <c r="D1043" s="0" t="n">
        <v>3</v>
      </c>
      <c r="E1043" s="0" t="n">
        <v>1112796.86</v>
      </c>
    </row>
    <row r="1044" customFormat="false" ht="15" hidden="false" customHeight="false" outlineLevel="0" collapsed="false">
      <c r="A1044" s="0" t="s">
        <v>1098</v>
      </c>
      <c r="B1044" s="0" t="s">
        <v>49</v>
      </c>
      <c r="C1044" s="0" t="s">
        <v>37</v>
      </c>
      <c r="D1044" s="0" t="n">
        <v>42</v>
      </c>
      <c r="E1044" s="0" t="n">
        <v>875260.4</v>
      </c>
    </row>
    <row r="1045" customFormat="false" ht="15" hidden="false" customHeight="false" outlineLevel="0" collapsed="false">
      <c r="A1045" s="0" t="s">
        <v>1099</v>
      </c>
      <c r="B1045" s="0" t="s">
        <v>49</v>
      </c>
      <c r="C1045" s="0" t="s">
        <v>44</v>
      </c>
      <c r="D1045" s="0" t="n">
        <v>5</v>
      </c>
      <c r="E1045" s="0" t="n">
        <v>989316.18</v>
      </c>
    </row>
    <row r="1046" customFormat="false" ht="15" hidden="false" customHeight="false" outlineLevel="0" collapsed="false">
      <c r="A1046" s="0" t="s">
        <v>1100</v>
      </c>
      <c r="B1046" s="0" t="s">
        <v>40</v>
      </c>
      <c r="C1046" s="0" t="s">
        <v>44</v>
      </c>
      <c r="D1046" s="0" t="n">
        <v>47</v>
      </c>
      <c r="E1046" s="0" t="n">
        <v>1326946.45</v>
      </c>
    </row>
    <row r="1047" customFormat="false" ht="15" hidden="false" customHeight="false" outlineLevel="0" collapsed="false">
      <c r="A1047" s="0" t="s">
        <v>1101</v>
      </c>
      <c r="B1047" s="0" t="s">
        <v>36</v>
      </c>
      <c r="C1047" s="0" t="s">
        <v>50</v>
      </c>
      <c r="D1047" s="0" t="n">
        <v>75</v>
      </c>
      <c r="E1047" s="0" t="n">
        <v>517011.69</v>
      </c>
    </row>
    <row r="1048" customFormat="false" ht="15" hidden="false" customHeight="false" outlineLevel="0" collapsed="false">
      <c r="A1048" s="0" t="s">
        <v>1102</v>
      </c>
      <c r="B1048" s="0" t="s">
        <v>40</v>
      </c>
      <c r="C1048" s="0" t="s">
        <v>81</v>
      </c>
      <c r="D1048" s="0" t="n">
        <v>81</v>
      </c>
      <c r="E1048" s="0" t="n">
        <v>1033123.84</v>
      </c>
    </row>
    <row r="1049" customFormat="false" ht="15" hidden="false" customHeight="false" outlineLevel="0" collapsed="false">
      <c r="A1049" s="0" t="s">
        <v>1103</v>
      </c>
      <c r="B1049" s="0" t="s">
        <v>66</v>
      </c>
      <c r="C1049" s="0" t="s">
        <v>53</v>
      </c>
      <c r="D1049" s="0" t="n">
        <v>20</v>
      </c>
      <c r="E1049" s="0" t="n">
        <v>2377619.63</v>
      </c>
    </row>
    <row r="1050" customFormat="false" ht="15" hidden="false" customHeight="false" outlineLevel="0" collapsed="false">
      <c r="A1050" s="0" t="s">
        <v>1104</v>
      </c>
      <c r="B1050" s="0" t="s">
        <v>66</v>
      </c>
      <c r="C1050" s="0" t="s">
        <v>53</v>
      </c>
      <c r="D1050" s="0" t="n">
        <v>36</v>
      </c>
      <c r="E1050" s="0" t="n">
        <v>1738436.47</v>
      </c>
    </row>
    <row r="1051" customFormat="false" ht="15" hidden="false" customHeight="false" outlineLevel="0" collapsed="false">
      <c r="A1051" s="0" t="s">
        <v>1105</v>
      </c>
      <c r="B1051" s="0" t="s">
        <v>49</v>
      </c>
      <c r="C1051" s="0" t="s">
        <v>76</v>
      </c>
      <c r="D1051" s="0" t="n">
        <v>85</v>
      </c>
      <c r="E1051" s="0" t="n">
        <v>1009516.77</v>
      </c>
    </row>
    <row r="1052" customFormat="false" ht="15" hidden="false" customHeight="false" outlineLevel="0" collapsed="false">
      <c r="A1052" s="0" t="s">
        <v>1106</v>
      </c>
      <c r="B1052" s="0" t="s">
        <v>49</v>
      </c>
      <c r="C1052" s="0" t="s">
        <v>44</v>
      </c>
      <c r="D1052" s="0" t="n">
        <v>92</v>
      </c>
      <c r="E1052" s="0" t="n">
        <v>1062551.29</v>
      </c>
    </row>
    <row r="1053" customFormat="false" ht="15" hidden="false" customHeight="false" outlineLevel="0" collapsed="false">
      <c r="A1053" s="0" t="s">
        <v>1107</v>
      </c>
      <c r="B1053" s="0" t="s">
        <v>49</v>
      </c>
      <c r="C1053" s="0" t="s">
        <v>53</v>
      </c>
      <c r="D1053" s="0" t="n">
        <v>44</v>
      </c>
      <c r="E1053" s="0" t="n">
        <v>958329.63</v>
      </c>
    </row>
    <row r="1054" customFormat="false" ht="15" hidden="false" customHeight="false" outlineLevel="0" collapsed="false">
      <c r="A1054" s="0" t="s">
        <v>1108</v>
      </c>
      <c r="B1054" s="0" t="s">
        <v>49</v>
      </c>
      <c r="C1054" s="0" t="s">
        <v>41</v>
      </c>
      <c r="D1054" s="0" t="n">
        <v>73</v>
      </c>
      <c r="E1054" s="0" t="n">
        <v>560428.97</v>
      </c>
    </row>
    <row r="1055" customFormat="false" ht="15" hidden="false" customHeight="false" outlineLevel="0" collapsed="false">
      <c r="A1055" s="0" t="s">
        <v>1109</v>
      </c>
      <c r="B1055" s="0" t="s">
        <v>36</v>
      </c>
      <c r="C1055" s="0" t="s">
        <v>53</v>
      </c>
      <c r="D1055" s="0" t="n">
        <v>56</v>
      </c>
      <c r="E1055" s="0" t="n">
        <v>642729.21</v>
      </c>
    </row>
    <row r="1056" customFormat="false" ht="15" hidden="false" customHeight="false" outlineLevel="0" collapsed="false">
      <c r="A1056" s="0" t="s">
        <v>1110</v>
      </c>
      <c r="B1056" s="0" t="s">
        <v>36</v>
      </c>
      <c r="C1056" s="0" t="s">
        <v>68</v>
      </c>
      <c r="D1056" s="0" t="n">
        <v>38</v>
      </c>
      <c r="E1056" s="0" t="n">
        <v>618939.85</v>
      </c>
    </row>
    <row r="1057" customFormat="false" ht="15" hidden="false" customHeight="false" outlineLevel="0" collapsed="false">
      <c r="A1057" s="0" t="s">
        <v>1111</v>
      </c>
      <c r="B1057" s="0" t="s">
        <v>49</v>
      </c>
      <c r="C1057" s="0" t="s">
        <v>53</v>
      </c>
      <c r="D1057" s="0" t="n">
        <v>28</v>
      </c>
      <c r="E1057" s="0" t="n">
        <v>491111.05</v>
      </c>
    </row>
    <row r="1058" customFormat="false" ht="15" hidden="false" customHeight="false" outlineLevel="0" collapsed="false">
      <c r="A1058" s="0" t="s">
        <v>1112</v>
      </c>
      <c r="B1058" s="0" t="s">
        <v>49</v>
      </c>
      <c r="C1058" s="0" t="s">
        <v>76</v>
      </c>
      <c r="D1058" s="0" t="n">
        <v>71</v>
      </c>
      <c r="E1058" s="0" t="n">
        <v>532420.69</v>
      </c>
    </row>
    <row r="1059" customFormat="false" ht="15" hidden="false" customHeight="false" outlineLevel="0" collapsed="false">
      <c r="A1059" s="0" t="s">
        <v>1113</v>
      </c>
      <c r="B1059" s="0" t="s">
        <v>49</v>
      </c>
      <c r="C1059" s="0" t="s">
        <v>64</v>
      </c>
      <c r="D1059" s="0" t="n">
        <v>31</v>
      </c>
      <c r="E1059" s="0" t="n">
        <v>510794.39</v>
      </c>
    </row>
    <row r="1060" customFormat="false" ht="15" hidden="false" customHeight="false" outlineLevel="0" collapsed="false">
      <c r="A1060" s="0" t="s">
        <v>1114</v>
      </c>
      <c r="B1060" s="0" t="s">
        <v>40</v>
      </c>
      <c r="C1060" s="0" t="s">
        <v>68</v>
      </c>
      <c r="D1060" s="0" t="n">
        <v>13</v>
      </c>
      <c r="E1060" s="0" t="n">
        <v>865735.31</v>
      </c>
    </row>
    <row r="1061" customFormat="false" ht="15" hidden="false" customHeight="false" outlineLevel="0" collapsed="false">
      <c r="A1061" s="0" t="s">
        <v>1115</v>
      </c>
      <c r="B1061" s="0" t="s">
        <v>40</v>
      </c>
      <c r="C1061" s="0" t="s">
        <v>41</v>
      </c>
      <c r="D1061" s="0" t="n">
        <v>78</v>
      </c>
      <c r="E1061" s="0" t="n">
        <v>1149154.67</v>
      </c>
    </row>
    <row r="1062" customFormat="false" ht="15" hidden="false" customHeight="false" outlineLevel="0" collapsed="false">
      <c r="A1062" s="0" t="s">
        <v>1116</v>
      </c>
      <c r="B1062" s="0" t="s">
        <v>36</v>
      </c>
      <c r="C1062" s="0" t="s">
        <v>53</v>
      </c>
      <c r="D1062" s="0" t="n">
        <v>90</v>
      </c>
      <c r="E1062" s="0" t="n">
        <v>468312.08</v>
      </c>
    </row>
    <row r="1063" customFormat="false" ht="15" hidden="false" customHeight="false" outlineLevel="0" collapsed="false">
      <c r="A1063" s="0" t="s">
        <v>1117</v>
      </c>
      <c r="B1063" s="0" t="s">
        <v>40</v>
      </c>
      <c r="C1063" s="0" t="s">
        <v>50</v>
      </c>
      <c r="D1063" s="0" t="n">
        <v>37</v>
      </c>
      <c r="E1063" s="0" t="n">
        <v>1117210.84</v>
      </c>
    </row>
    <row r="1064" customFormat="false" ht="15" hidden="false" customHeight="false" outlineLevel="0" collapsed="false">
      <c r="A1064" s="0" t="s">
        <v>1118</v>
      </c>
      <c r="B1064" s="0" t="s">
        <v>49</v>
      </c>
      <c r="C1064" s="0" t="s">
        <v>53</v>
      </c>
      <c r="D1064" s="0" t="n">
        <v>48</v>
      </c>
      <c r="E1064" s="0" t="n">
        <v>1010916.63</v>
      </c>
    </row>
    <row r="1065" customFormat="false" ht="15" hidden="false" customHeight="false" outlineLevel="0" collapsed="false">
      <c r="A1065" s="0" t="s">
        <v>1119</v>
      </c>
      <c r="B1065" s="0" t="s">
        <v>40</v>
      </c>
      <c r="C1065" s="0" t="s">
        <v>53</v>
      </c>
      <c r="D1065" s="0" t="n">
        <v>68</v>
      </c>
      <c r="E1065" s="0" t="n">
        <v>943107.46</v>
      </c>
    </row>
    <row r="1066" customFormat="false" ht="15" hidden="false" customHeight="false" outlineLevel="0" collapsed="false">
      <c r="A1066" s="0" t="s">
        <v>1120</v>
      </c>
      <c r="B1066" s="0" t="s">
        <v>36</v>
      </c>
      <c r="C1066" s="0" t="s">
        <v>41</v>
      </c>
      <c r="D1066" s="0" t="n">
        <v>62</v>
      </c>
      <c r="E1066" s="0" t="n">
        <v>528963.87</v>
      </c>
    </row>
    <row r="1067" customFormat="false" ht="15" hidden="false" customHeight="false" outlineLevel="0" collapsed="false">
      <c r="A1067" s="0" t="s">
        <v>1121</v>
      </c>
      <c r="B1067" s="0" t="s">
        <v>40</v>
      </c>
      <c r="C1067" s="0" t="s">
        <v>41</v>
      </c>
      <c r="D1067" s="0" t="n">
        <v>76</v>
      </c>
      <c r="E1067" s="0" t="n">
        <v>1422433.85</v>
      </c>
    </row>
    <row r="1068" customFormat="false" ht="15" hidden="false" customHeight="false" outlineLevel="0" collapsed="false">
      <c r="A1068" s="0" t="s">
        <v>1122</v>
      </c>
      <c r="B1068" s="0" t="s">
        <v>40</v>
      </c>
      <c r="C1068" s="0" t="s">
        <v>44</v>
      </c>
      <c r="D1068" s="0" t="n">
        <v>86</v>
      </c>
      <c r="E1068" s="0" t="n">
        <v>916224.46</v>
      </c>
    </row>
    <row r="1069" customFormat="false" ht="15" hidden="false" customHeight="false" outlineLevel="0" collapsed="false">
      <c r="A1069" s="0" t="s">
        <v>1123</v>
      </c>
      <c r="B1069" s="0" t="s">
        <v>49</v>
      </c>
      <c r="C1069" s="0" t="s">
        <v>89</v>
      </c>
      <c r="D1069" s="0" t="n">
        <v>19</v>
      </c>
      <c r="E1069" s="0" t="n">
        <v>876154.75</v>
      </c>
    </row>
    <row r="1070" customFormat="false" ht="15" hidden="false" customHeight="false" outlineLevel="0" collapsed="false">
      <c r="A1070" s="0" t="s">
        <v>1124</v>
      </c>
      <c r="B1070" s="0" t="s">
        <v>36</v>
      </c>
      <c r="C1070" s="0" t="s">
        <v>44</v>
      </c>
      <c r="D1070" s="0" t="n">
        <v>15</v>
      </c>
      <c r="E1070" s="0" t="n">
        <v>464233.92</v>
      </c>
    </row>
    <row r="1071" customFormat="false" ht="15" hidden="false" customHeight="false" outlineLevel="0" collapsed="false">
      <c r="A1071" s="0" t="s">
        <v>1125</v>
      </c>
      <c r="B1071" s="0" t="s">
        <v>49</v>
      </c>
      <c r="C1071" s="0" t="s">
        <v>64</v>
      </c>
      <c r="D1071" s="0" t="n">
        <v>73</v>
      </c>
      <c r="E1071" s="0" t="n">
        <v>683373.63</v>
      </c>
    </row>
    <row r="1072" customFormat="false" ht="15" hidden="false" customHeight="false" outlineLevel="0" collapsed="false">
      <c r="A1072" s="0" t="s">
        <v>1126</v>
      </c>
      <c r="B1072" s="0" t="s">
        <v>49</v>
      </c>
      <c r="C1072" s="0" t="s">
        <v>53</v>
      </c>
      <c r="D1072" s="0" t="n">
        <v>35</v>
      </c>
      <c r="E1072" s="0" t="n">
        <v>734229.44</v>
      </c>
    </row>
    <row r="1073" customFormat="false" ht="15" hidden="false" customHeight="false" outlineLevel="0" collapsed="false">
      <c r="A1073" s="0" t="s">
        <v>1127</v>
      </c>
      <c r="B1073" s="0" t="s">
        <v>36</v>
      </c>
      <c r="C1073" s="0" t="s">
        <v>53</v>
      </c>
      <c r="D1073" s="0" t="n">
        <v>26</v>
      </c>
      <c r="E1073" s="0" t="n">
        <v>419443.38</v>
      </c>
    </row>
    <row r="1074" customFormat="false" ht="15" hidden="false" customHeight="false" outlineLevel="0" collapsed="false">
      <c r="A1074" s="0" t="s">
        <v>1128</v>
      </c>
      <c r="B1074" s="0" t="s">
        <v>49</v>
      </c>
      <c r="C1074" s="0" t="s">
        <v>41</v>
      </c>
      <c r="D1074" s="0" t="n">
        <v>83</v>
      </c>
      <c r="E1074" s="0" t="n">
        <v>1217040.15</v>
      </c>
    </row>
    <row r="1075" customFormat="false" ht="15" hidden="false" customHeight="false" outlineLevel="0" collapsed="false">
      <c r="A1075" s="0" t="s">
        <v>1129</v>
      </c>
      <c r="B1075" s="0" t="s">
        <v>49</v>
      </c>
      <c r="C1075" s="0" t="s">
        <v>53</v>
      </c>
      <c r="D1075" s="0" t="n">
        <v>9</v>
      </c>
      <c r="E1075" s="0" t="n">
        <v>677605.71</v>
      </c>
    </row>
    <row r="1076" customFormat="false" ht="15" hidden="false" customHeight="false" outlineLevel="0" collapsed="false">
      <c r="A1076" s="0" t="s">
        <v>1130</v>
      </c>
      <c r="B1076" s="0" t="s">
        <v>36</v>
      </c>
      <c r="C1076" s="0" t="s">
        <v>68</v>
      </c>
      <c r="D1076" s="0" t="n">
        <v>55</v>
      </c>
      <c r="E1076" s="0" t="n">
        <v>309367.83</v>
      </c>
    </row>
    <row r="1077" customFormat="false" ht="15" hidden="false" customHeight="false" outlineLevel="0" collapsed="false">
      <c r="A1077" s="0" t="s">
        <v>1131</v>
      </c>
      <c r="B1077" s="0" t="s">
        <v>49</v>
      </c>
      <c r="C1077" s="0" t="s">
        <v>64</v>
      </c>
      <c r="D1077" s="0" t="n">
        <v>72</v>
      </c>
      <c r="E1077" s="0" t="n">
        <v>763609.84</v>
      </c>
    </row>
    <row r="1078" customFormat="false" ht="15" hidden="false" customHeight="false" outlineLevel="0" collapsed="false">
      <c r="A1078" s="0" t="s">
        <v>1132</v>
      </c>
      <c r="B1078" s="0" t="s">
        <v>36</v>
      </c>
      <c r="C1078" s="0" t="s">
        <v>64</v>
      </c>
      <c r="D1078" s="0" t="n">
        <v>89</v>
      </c>
      <c r="E1078" s="0" t="n">
        <v>422866.13</v>
      </c>
    </row>
    <row r="1079" customFormat="false" ht="15" hidden="false" customHeight="false" outlineLevel="0" collapsed="false">
      <c r="A1079" s="0" t="s">
        <v>1133</v>
      </c>
      <c r="B1079" s="0" t="s">
        <v>49</v>
      </c>
      <c r="C1079" s="0" t="s">
        <v>76</v>
      </c>
      <c r="D1079" s="0" t="n">
        <v>79</v>
      </c>
      <c r="E1079" s="0" t="n">
        <v>997705.27</v>
      </c>
    </row>
    <row r="1080" customFormat="false" ht="15" hidden="false" customHeight="false" outlineLevel="0" collapsed="false">
      <c r="A1080" s="0" t="s">
        <v>1134</v>
      </c>
      <c r="B1080" s="0" t="s">
        <v>36</v>
      </c>
      <c r="C1080" s="0" t="s">
        <v>53</v>
      </c>
      <c r="D1080" s="0" t="n">
        <v>24</v>
      </c>
      <c r="E1080" s="0" t="n">
        <v>660543.58</v>
      </c>
    </row>
    <row r="1081" customFormat="false" ht="15" hidden="false" customHeight="false" outlineLevel="0" collapsed="false">
      <c r="A1081" s="0" t="s">
        <v>1135</v>
      </c>
      <c r="B1081" s="0" t="s">
        <v>40</v>
      </c>
      <c r="C1081" s="0" t="s">
        <v>53</v>
      </c>
      <c r="D1081" s="0" t="n">
        <v>11</v>
      </c>
      <c r="E1081" s="0" t="n">
        <v>1077128.45</v>
      </c>
    </row>
    <row r="1082" customFormat="false" ht="15" hidden="false" customHeight="false" outlineLevel="0" collapsed="false">
      <c r="A1082" s="0" t="s">
        <v>1136</v>
      </c>
      <c r="B1082" s="0" t="s">
        <v>36</v>
      </c>
      <c r="C1082" s="0" t="s">
        <v>37</v>
      </c>
      <c r="D1082" s="0" t="n">
        <v>45</v>
      </c>
      <c r="E1082" s="0" t="n">
        <v>719824.56</v>
      </c>
    </row>
    <row r="1083" customFormat="false" ht="15" hidden="false" customHeight="false" outlineLevel="0" collapsed="false">
      <c r="A1083" s="0" t="s">
        <v>1137</v>
      </c>
      <c r="B1083" s="0" t="s">
        <v>40</v>
      </c>
      <c r="C1083" s="0" t="s">
        <v>64</v>
      </c>
      <c r="D1083" s="0" t="n">
        <v>3</v>
      </c>
      <c r="E1083" s="0" t="n">
        <v>1687252.95</v>
      </c>
    </row>
    <row r="1084" customFormat="false" ht="15" hidden="false" customHeight="false" outlineLevel="0" collapsed="false">
      <c r="A1084" s="0" t="s">
        <v>1138</v>
      </c>
      <c r="B1084" s="0" t="s">
        <v>40</v>
      </c>
      <c r="C1084" s="0" t="s">
        <v>53</v>
      </c>
      <c r="D1084" s="0" t="n">
        <v>56</v>
      </c>
      <c r="E1084" s="0" t="n">
        <v>1539977.76</v>
      </c>
    </row>
    <row r="1085" customFormat="false" ht="15" hidden="false" customHeight="false" outlineLevel="0" collapsed="false">
      <c r="A1085" s="0" t="s">
        <v>1139</v>
      </c>
      <c r="B1085" s="0" t="s">
        <v>49</v>
      </c>
      <c r="C1085" s="0" t="s">
        <v>37</v>
      </c>
      <c r="D1085" s="0" t="n">
        <v>54</v>
      </c>
      <c r="E1085" s="0" t="n">
        <v>987119.51</v>
      </c>
    </row>
    <row r="1086" customFormat="false" ht="15" hidden="false" customHeight="false" outlineLevel="0" collapsed="false">
      <c r="A1086" s="0" t="s">
        <v>1140</v>
      </c>
      <c r="B1086" s="0" t="s">
        <v>36</v>
      </c>
      <c r="C1086" s="0" t="s">
        <v>53</v>
      </c>
      <c r="D1086" s="0" t="n">
        <v>80</v>
      </c>
      <c r="E1086" s="0" t="n">
        <v>710001.76</v>
      </c>
    </row>
    <row r="1087" customFormat="false" ht="15" hidden="false" customHeight="false" outlineLevel="0" collapsed="false">
      <c r="A1087" s="0" t="s">
        <v>1141</v>
      </c>
      <c r="B1087" s="0" t="s">
        <v>66</v>
      </c>
      <c r="C1087" s="0" t="s">
        <v>44</v>
      </c>
      <c r="D1087" s="0" t="n">
        <v>29</v>
      </c>
      <c r="E1087" s="0" t="n">
        <v>3140530.89</v>
      </c>
    </row>
    <row r="1088" customFormat="false" ht="15" hidden="false" customHeight="false" outlineLevel="0" collapsed="false">
      <c r="A1088" s="0" t="s">
        <v>1142</v>
      </c>
      <c r="B1088" s="0" t="s">
        <v>40</v>
      </c>
      <c r="C1088" s="0" t="s">
        <v>37</v>
      </c>
      <c r="D1088" s="0" t="n">
        <v>84</v>
      </c>
      <c r="E1088" s="0" t="n">
        <v>1262764.92</v>
      </c>
    </row>
    <row r="1089" customFormat="false" ht="15" hidden="false" customHeight="false" outlineLevel="0" collapsed="false">
      <c r="A1089" s="0" t="s">
        <v>1143</v>
      </c>
      <c r="B1089" s="0" t="s">
        <v>36</v>
      </c>
      <c r="C1089" s="0" t="s">
        <v>89</v>
      </c>
      <c r="D1089" s="0" t="n">
        <v>29</v>
      </c>
      <c r="E1089" s="0" t="n">
        <v>359363.38</v>
      </c>
    </row>
    <row r="1090" customFormat="false" ht="15" hidden="false" customHeight="false" outlineLevel="0" collapsed="false">
      <c r="A1090" s="0" t="s">
        <v>1144</v>
      </c>
      <c r="B1090" s="0" t="s">
        <v>49</v>
      </c>
      <c r="C1090" s="0" t="s">
        <v>37</v>
      </c>
      <c r="D1090" s="0" t="n">
        <v>36</v>
      </c>
      <c r="E1090" s="0" t="n">
        <v>748937.21</v>
      </c>
    </row>
    <row r="1091" customFormat="false" ht="15" hidden="false" customHeight="false" outlineLevel="0" collapsed="false">
      <c r="A1091" s="0" t="s">
        <v>1145</v>
      </c>
      <c r="B1091" s="0" t="s">
        <v>49</v>
      </c>
      <c r="C1091" s="0" t="s">
        <v>44</v>
      </c>
      <c r="D1091" s="0" t="n">
        <v>54</v>
      </c>
      <c r="E1091" s="0" t="n">
        <v>674363.96</v>
      </c>
    </row>
    <row r="1092" customFormat="false" ht="15" hidden="false" customHeight="false" outlineLevel="0" collapsed="false">
      <c r="A1092" s="0" t="s">
        <v>1146</v>
      </c>
      <c r="B1092" s="0" t="s">
        <v>36</v>
      </c>
      <c r="C1092" s="0" t="s">
        <v>64</v>
      </c>
      <c r="D1092" s="0" t="n">
        <v>46</v>
      </c>
      <c r="E1092" s="0" t="n">
        <v>688744.22</v>
      </c>
    </row>
    <row r="1093" customFormat="false" ht="15" hidden="false" customHeight="false" outlineLevel="0" collapsed="false">
      <c r="A1093" s="0" t="s">
        <v>1147</v>
      </c>
      <c r="B1093" s="0" t="s">
        <v>66</v>
      </c>
      <c r="C1093" s="0" t="s">
        <v>44</v>
      </c>
      <c r="D1093" s="0" t="n">
        <v>13</v>
      </c>
      <c r="E1093" s="0" t="n">
        <v>2780668.61</v>
      </c>
    </row>
    <row r="1094" customFormat="false" ht="15" hidden="false" customHeight="false" outlineLevel="0" collapsed="false">
      <c r="A1094" s="0" t="s">
        <v>1148</v>
      </c>
      <c r="B1094" s="0" t="s">
        <v>49</v>
      </c>
      <c r="C1094" s="0" t="s">
        <v>64</v>
      </c>
      <c r="D1094" s="0" t="n">
        <v>71</v>
      </c>
      <c r="E1094" s="0" t="n">
        <v>1065417.17</v>
      </c>
    </row>
    <row r="1095" customFormat="false" ht="15" hidden="false" customHeight="false" outlineLevel="0" collapsed="false">
      <c r="A1095" s="0" t="s">
        <v>1149</v>
      </c>
      <c r="B1095" s="0" t="s">
        <v>36</v>
      </c>
      <c r="C1095" s="0" t="s">
        <v>44</v>
      </c>
      <c r="D1095" s="0" t="n">
        <v>15</v>
      </c>
      <c r="E1095" s="0" t="n">
        <v>474043.38</v>
      </c>
    </row>
    <row r="1096" customFormat="false" ht="15" hidden="false" customHeight="false" outlineLevel="0" collapsed="false">
      <c r="A1096" s="0" t="s">
        <v>1150</v>
      </c>
      <c r="B1096" s="0" t="s">
        <v>40</v>
      </c>
      <c r="C1096" s="0" t="s">
        <v>89</v>
      </c>
      <c r="D1096" s="0" t="n">
        <v>47</v>
      </c>
      <c r="E1096" s="0" t="n">
        <v>1515713.38</v>
      </c>
    </row>
    <row r="1097" customFormat="false" ht="15" hidden="false" customHeight="false" outlineLevel="0" collapsed="false">
      <c r="A1097" s="0" t="s">
        <v>1151</v>
      </c>
      <c r="B1097" s="0" t="s">
        <v>66</v>
      </c>
      <c r="C1097" s="0" t="s">
        <v>37</v>
      </c>
      <c r="D1097" s="0" t="n">
        <v>22</v>
      </c>
      <c r="E1097" s="0" t="n">
        <v>2485713.22</v>
      </c>
    </row>
    <row r="1098" customFormat="false" ht="15" hidden="false" customHeight="false" outlineLevel="0" collapsed="false">
      <c r="A1098" s="0" t="s">
        <v>1152</v>
      </c>
      <c r="B1098" s="0" t="s">
        <v>36</v>
      </c>
      <c r="C1098" s="0" t="s">
        <v>76</v>
      </c>
      <c r="D1098" s="0" t="n">
        <v>50</v>
      </c>
      <c r="E1098" s="0" t="n">
        <v>629440.61</v>
      </c>
    </row>
    <row r="1099" customFormat="false" ht="15" hidden="false" customHeight="false" outlineLevel="0" collapsed="false">
      <c r="A1099" s="0" t="s">
        <v>1153</v>
      </c>
      <c r="B1099" s="0" t="s">
        <v>40</v>
      </c>
      <c r="C1099" s="0" t="s">
        <v>53</v>
      </c>
      <c r="D1099" s="0" t="n">
        <v>93</v>
      </c>
      <c r="E1099" s="0" t="n">
        <v>1065839.52</v>
      </c>
    </row>
    <row r="1100" customFormat="false" ht="15" hidden="false" customHeight="false" outlineLevel="0" collapsed="false">
      <c r="A1100" s="0" t="s">
        <v>1154</v>
      </c>
      <c r="B1100" s="0" t="s">
        <v>36</v>
      </c>
      <c r="C1100" s="0" t="s">
        <v>53</v>
      </c>
      <c r="D1100" s="0" t="n">
        <v>87</v>
      </c>
      <c r="E1100" s="0" t="n">
        <v>736559.4</v>
      </c>
    </row>
    <row r="1101" customFormat="false" ht="15" hidden="false" customHeight="false" outlineLevel="0" collapsed="false">
      <c r="A1101" s="0" t="s">
        <v>1155</v>
      </c>
      <c r="B1101" s="0" t="s">
        <v>36</v>
      </c>
      <c r="C1101" s="0" t="s">
        <v>64</v>
      </c>
      <c r="D1101" s="0" t="n">
        <v>28</v>
      </c>
      <c r="E1101" s="0" t="n">
        <v>531023.44</v>
      </c>
    </row>
    <row r="1102" customFormat="false" ht="15" hidden="false" customHeight="false" outlineLevel="0" collapsed="false">
      <c r="A1102" s="0" t="s">
        <v>1156</v>
      </c>
      <c r="B1102" s="0" t="s">
        <v>49</v>
      </c>
      <c r="C1102" s="0" t="s">
        <v>53</v>
      </c>
      <c r="D1102" s="0" t="n">
        <v>92</v>
      </c>
      <c r="E1102" s="0" t="n">
        <v>736874.86</v>
      </c>
    </row>
    <row r="1103" customFormat="false" ht="15" hidden="false" customHeight="false" outlineLevel="0" collapsed="false">
      <c r="A1103" s="0" t="s">
        <v>1157</v>
      </c>
      <c r="B1103" s="0" t="s">
        <v>49</v>
      </c>
      <c r="C1103" s="0" t="s">
        <v>44</v>
      </c>
      <c r="D1103" s="0" t="n">
        <v>92</v>
      </c>
      <c r="E1103" s="0" t="n">
        <v>855687.25</v>
      </c>
    </row>
    <row r="1104" customFormat="false" ht="15" hidden="false" customHeight="false" outlineLevel="0" collapsed="false">
      <c r="A1104" s="0" t="s">
        <v>1158</v>
      </c>
      <c r="B1104" s="0" t="s">
        <v>36</v>
      </c>
      <c r="C1104" s="0" t="s">
        <v>41</v>
      </c>
      <c r="D1104" s="0" t="n">
        <v>82</v>
      </c>
      <c r="E1104" s="0" t="n">
        <v>790637.25</v>
      </c>
    </row>
    <row r="1105" customFormat="false" ht="15" hidden="false" customHeight="false" outlineLevel="0" collapsed="false">
      <c r="A1105" s="0" t="s">
        <v>1159</v>
      </c>
      <c r="B1105" s="0" t="s">
        <v>36</v>
      </c>
      <c r="C1105" s="0" t="s">
        <v>44</v>
      </c>
      <c r="D1105" s="0" t="n">
        <v>22</v>
      </c>
      <c r="E1105" s="0" t="n">
        <v>711753.81</v>
      </c>
    </row>
    <row r="1106" customFormat="false" ht="15" hidden="false" customHeight="false" outlineLevel="0" collapsed="false">
      <c r="A1106" s="0" t="s">
        <v>1160</v>
      </c>
      <c r="B1106" s="0" t="s">
        <v>49</v>
      </c>
      <c r="C1106" s="0" t="s">
        <v>37</v>
      </c>
      <c r="D1106" s="0" t="n">
        <v>22</v>
      </c>
      <c r="E1106" s="0" t="n">
        <v>538004.83</v>
      </c>
    </row>
    <row r="1107" customFormat="false" ht="15" hidden="false" customHeight="false" outlineLevel="0" collapsed="false">
      <c r="A1107" s="0" t="s">
        <v>1161</v>
      </c>
      <c r="B1107" s="0" t="s">
        <v>36</v>
      </c>
      <c r="C1107" s="0" t="s">
        <v>81</v>
      </c>
      <c r="D1107" s="0" t="n">
        <v>86</v>
      </c>
      <c r="E1107" s="0" t="n">
        <v>756816.98</v>
      </c>
    </row>
    <row r="1108" customFormat="false" ht="15" hidden="false" customHeight="false" outlineLevel="0" collapsed="false">
      <c r="A1108" s="0" t="s">
        <v>1162</v>
      </c>
      <c r="B1108" s="0" t="s">
        <v>36</v>
      </c>
      <c r="C1108" s="0" t="s">
        <v>44</v>
      </c>
      <c r="D1108" s="0" t="n">
        <v>24</v>
      </c>
      <c r="E1108" s="0" t="n">
        <v>671470.34</v>
      </c>
    </row>
    <row r="1109" customFormat="false" ht="15" hidden="false" customHeight="false" outlineLevel="0" collapsed="false">
      <c r="A1109" s="0" t="s">
        <v>1163</v>
      </c>
      <c r="B1109" s="0" t="s">
        <v>36</v>
      </c>
      <c r="C1109" s="0" t="s">
        <v>41</v>
      </c>
      <c r="D1109" s="0" t="n">
        <v>47</v>
      </c>
      <c r="E1109" s="0" t="n">
        <v>753941.22</v>
      </c>
    </row>
    <row r="1110" customFormat="false" ht="15" hidden="false" customHeight="false" outlineLevel="0" collapsed="false">
      <c r="A1110" s="0" t="s">
        <v>1164</v>
      </c>
      <c r="B1110" s="0" t="s">
        <v>66</v>
      </c>
      <c r="C1110" s="0" t="s">
        <v>44</v>
      </c>
      <c r="D1110" s="0" t="n">
        <v>30</v>
      </c>
      <c r="E1110" s="0" t="n">
        <v>2287033.48</v>
      </c>
    </row>
    <row r="1111" customFormat="false" ht="15" hidden="false" customHeight="false" outlineLevel="0" collapsed="false">
      <c r="A1111" s="0" t="s">
        <v>1165</v>
      </c>
      <c r="B1111" s="0" t="s">
        <v>36</v>
      </c>
      <c r="C1111" s="0" t="s">
        <v>76</v>
      </c>
      <c r="D1111" s="0" t="n">
        <v>7</v>
      </c>
      <c r="E1111" s="0" t="n">
        <v>516453.83</v>
      </c>
    </row>
    <row r="1112" customFormat="false" ht="15" hidden="false" customHeight="false" outlineLevel="0" collapsed="false">
      <c r="A1112" s="0" t="s">
        <v>1166</v>
      </c>
      <c r="B1112" s="0" t="s">
        <v>49</v>
      </c>
      <c r="C1112" s="0" t="s">
        <v>41</v>
      </c>
      <c r="D1112" s="0" t="n">
        <v>40</v>
      </c>
      <c r="E1112" s="0" t="n">
        <v>827064.32</v>
      </c>
    </row>
    <row r="1113" customFormat="false" ht="15" hidden="false" customHeight="false" outlineLevel="0" collapsed="false">
      <c r="A1113" s="0" t="s">
        <v>1167</v>
      </c>
      <c r="B1113" s="0" t="s">
        <v>49</v>
      </c>
      <c r="C1113" s="0" t="s">
        <v>41</v>
      </c>
      <c r="D1113" s="0" t="n">
        <v>14</v>
      </c>
      <c r="E1113" s="0" t="n">
        <v>524384.53</v>
      </c>
    </row>
    <row r="1114" customFormat="false" ht="15" hidden="false" customHeight="false" outlineLevel="0" collapsed="false">
      <c r="A1114" s="0" t="s">
        <v>1168</v>
      </c>
      <c r="B1114" s="0" t="s">
        <v>49</v>
      </c>
      <c r="C1114" s="0" t="s">
        <v>44</v>
      </c>
      <c r="D1114" s="0" t="n">
        <v>49</v>
      </c>
      <c r="E1114" s="0" t="n">
        <v>531434.81</v>
      </c>
    </row>
    <row r="1115" customFormat="false" ht="15" hidden="false" customHeight="false" outlineLevel="0" collapsed="false">
      <c r="A1115" s="0" t="s">
        <v>1169</v>
      </c>
      <c r="B1115" s="0" t="s">
        <v>40</v>
      </c>
      <c r="C1115" s="0" t="s">
        <v>89</v>
      </c>
      <c r="D1115" s="0" t="n">
        <v>73</v>
      </c>
      <c r="E1115" s="0" t="n">
        <v>2099975.63</v>
      </c>
    </row>
    <row r="1116" customFormat="false" ht="15" hidden="false" customHeight="false" outlineLevel="0" collapsed="false">
      <c r="A1116" s="0" t="s">
        <v>1170</v>
      </c>
      <c r="B1116" s="0" t="s">
        <v>36</v>
      </c>
      <c r="C1116" s="0" t="s">
        <v>76</v>
      </c>
      <c r="D1116" s="0" t="n">
        <v>73</v>
      </c>
      <c r="E1116" s="0" t="n">
        <v>508967.51</v>
      </c>
    </row>
    <row r="1117" customFormat="false" ht="15" hidden="false" customHeight="false" outlineLevel="0" collapsed="false">
      <c r="A1117" s="0" t="s">
        <v>1171</v>
      </c>
      <c r="B1117" s="0" t="s">
        <v>36</v>
      </c>
      <c r="C1117" s="0" t="s">
        <v>53</v>
      </c>
      <c r="D1117" s="0" t="n">
        <v>65</v>
      </c>
      <c r="E1117" s="0" t="n">
        <v>517674.67</v>
      </c>
    </row>
    <row r="1118" customFormat="false" ht="15" hidden="false" customHeight="false" outlineLevel="0" collapsed="false">
      <c r="A1118" s="0" t="s">
        <v>1172</v>
      </c>
      <c r="B1118" s="0" t="s">
        <v>66</v>
      </c>
      <c r="C1118" s="0" t="s">
        <v>81</v>
      </c>
      <c r="D1118" s="0" t="n">
        <v>91</v>
      </c>
      <c r="E1118" s="0" t="n">
        <v>3509057.72</v>
      </c>
    </row>
    <row r="1119" customFormat="false" ht="15" hidden="false" customHeight="false" outlineLevel="0" collapsed="false">
      <c r="A1119" s="0" t="s">
        <v>1173</v>
      </c>
      <c r="B1119" s="0" t="s">
        <v>36</v>
      </c>
      <c r="C1119" s="0" t="s">
        <v>53</v>
      </c>
      <c r="D1119" s="0" t="n">
        <v>46</v>
      </c>
      <c r="E1119" s="0" t="n">
        <v>762611.87</v>
      </c>
    </row>
    <row r="1120" customFormat="false" ht="15" hidden="false" customHeight="false" outlineLevel="0" collapsed="false">
      <c r="A1120" s="0" t="s">
        <v>1174</v>
      </c>
      <c r="B1120" s="0" t="s">
        <v>49</v>
      </c>
      <c r="C1120" s="0" t="s">
        <v>53</v>
      </c>
      <c r="D1120" s="0" t="n">
        <v>53</v>
      </c>
      <c r="E1120" s="0" t="n">
        <v>769073.42</v>
      </c>
    </row>
    <row r="1121" customFormat="false" ht="15" hidden="false" customHeight="false" outlineLevel="0" collapsed="false">
      <c r="A1121" s="0" t="s">
        <v>1175</v>
      </c>
      <c r="B1121" s="0" t="s">
        <v>49</v>
      </c>
      <c r="C1121" s="0" t="s">
        <v>89</v>
      </c>
      <c r="D1121" s="0" t="n">
        <v>80</v>
      </c>
      <c r="E1121" s="0" t="n">
        <v>1127929.36</v>
      </c>
    </row>
    <row r="1122" customFormat="false" ht="15" hidden="false" customHeight="false" outlineLevel="0" collapsed="false">
      <c r="A1122" s="0" t="s">
        <v>1176</v>
      </c>
      <c r="B1122" s="0" t="s">
        <v>36</v>
      </c>
      <c r="C1122" s="0" t="s">
        <v>64</v>
      </c>
      <c r="D1122" s="0" t="n">
        <v>17</v>
      </c>
      <c r="E1122" s="0" t="n">
        <v>617781.29</v>
      </c>
    </row>
    <row r="1123" customFormat="false" ht="15" hidden="false" customHeight="false" outlineLevel="0" collapsed="false">
      <c r="A1123" s="0" t="s">
        <v>1177</v>
      </c>
      <c r="B1123" s="0" t="s">
        <v>40</v>
      </c>
      <c r="C1123" s="0" t="s">
        <v>44</v>
      </c>
      <c r="D1123" s="0" t="n">
        <v>87</v>
      </c>
      <c r="E1123" s="0" t="n">
        <v>1274474.26</v>
      </c>
    </row>
    <row r="1124" customFormat="false" ht="15" hidden="false" customHeight="false" outlineLevel="0" collapsed="false">
      <c r="A1124" s="0" t="s">
        <v>1178</v>
      </c>
      <c r="B1124" s="0" t="s">
        <v>49</v>
      </c>
      <c r="C1124" s="0" t="s">
        <v>53</v>
      </c>
      <c r="D1124" s="0" t="n">
        <v>80</v>
      </c>
      <c r="E1124" s="0" t="n">
        <v>702675.24</v>
      </c>
    </row>
    <row r="1125" customFormat="false" ht="15" hidden="false" customHeight="false" outlineLevel="0" collapsed="false">
      <c r="A1125" s="0" t="s">
        <v>1179</v>
      </c>
      <c r="B1125" s="0" t="s">
        <v>36</v>
      </c>
      <c r="C1125" s="0" t="s">
        <v>64</v>
      </c>
      <c r="D1125" s="0" t="n">
        <v>77</v>
      </c>
      <c r="E1125" s="0" t="n">
        <v>338147.07</v>
      </c>
    </row>
    <row r="1126" customFormat="false" ht="15" hidden="false" customHeight="false" outlineLevel="0" collapsed="false">
      <c r="A1126" s="0" t="s">
        <v>1180</v>
      </c>
      <c r="B1126" s="0" t="s">
        <v>36</v>
      </c>
      <c r="C1126" s="0" t="s">
        <v>81</v>
      </c>
      <c r="D1126" s="0" t="n">
        <v>25</v>
      </c>
      <c r="E1126" s="0" t="n">
        <v>259267.86</v>
      </c>
    </row>
    <row r="1127" customFormat="false" ht="15" hidden="false" customHeight="false" outlineLevel="0" collapsed="false">
      <c r="A1127" s="0" t="s">
        <v>1181</v>
      </c>
      <c r="B1127" s="0" t="s">
        <v>36</v>
      </c>
      <c r="C1127" s="0" t="s">
        <v>68</v>
      </c>
      <c r="D1127" s="0" t="n">
        <v>48</v>
      </c>
      <c r="E1127" s="0" t="n">
        <v>505947.71</v>
      </c>
    </row>
    <row r="1128" customFormat="false" ht="15" hidden="false" customHeight="false" outlineLevel="0" collapsed="false">
      <c r="A1128" s="0" t="s">
        <v>1182</v>
      </c>
      <c r="B1128" s="0" t="s">
        <v>66</v>
      </c>
      <c r="C1128" s="0" t="s">
        <v>64</v>
      </c>
      <c r="D1128" s="0" t="n">
        <v>65</v>
      </c>
      <c r="E1128" s="0" t="n">
        <v>3152831.33</v>
      </c>
    </row>
    <row r="1129" customFormat="false" ht="15" hidden="false" customHeight="false" outlineLevel="0" collapsed="false">
      <c r="A1129" s="0" t="s">
        <v>1183</v>
      </c>
      <c r="B1129" s="0" t="s">
        <v>49</v>
      </c>
      <c r="C1129" s="0" t="s">
        <v>41</v>
      </c>
      <c r="D1129" s="0" t="n">
        <v>44</v>
      </c>
      <c r="E1129" s="0" t="n">
        <v>794307.72</v>
      </c>
    </row>
    <row r="1130" customFormat="false" ht="15" hidden="false" customHeight="false" outlineLevel="0" collapsed="false">
      <c r="A1130" s="0" t="s">
        <v>1184</v>
      </c>
      <c r="B1130" s="0" t="s">
        <v>49</v>
      </c>
      <c r="C1130" s="0" t="s">
        <v>50</v>
      </c>
      <c r="D1130" s="0" t="n">
        <v>63</v>
      </c>
      <c r="E1130" s="0" t="n">
        <v>1041644.26</v>
      </c>
    </row>
    <row r="1131" customFormat="false" ht="15" hidden="false" customHeight="false" outlineLevel="0" collapsed="false">
      <c r="A1131" s="0" t="s">
        <v>1185</v>
      </c>
      <c r="B1131" s="0" t="s">
        <v>40</v>
      </c>
      <c r="C1131" s="0" t="s">
        <v>64</v>
      </c>
      <c r="D1131" s="0" t="n">
        <v>52</v>
      </c>
      <c r="E1131" s="0" t="n">
        <v>1401714.82</v>
      </c>
    </row>
    <row r="1132" customFormat="false" ht="15" hidden="false" customHeight="false" outlineLevel="0" collapsed="false">
      <c r="A1132" s="0" t="s">
        <v>1186</v>
      </c>
      <c r="B1132" s="0" t="s">
        <v>49</v>
      </c>
      <c r="C1132" s="0" t="s">
        <v>81</v>
      </c>
      <c r="D1132" s="0" t="n">
        <v>77</v>
      </c>
      <c r="E1132" s="0" t="n">
        <v>621373.48</v>
      </c>
    </row>
    <row r="1133" customFormat="false" ht="15" hidden="false" customHeight="false" outlineLevel="0" collapsed="false">
      <c r="A1133" s="0" t="s">
        <v>1187</v>
      </c>
      <c r="B1133" s="0" t="s">
        <v>40</v>
      </c>
      <c r="C1133" s="0" t="s">
        <v>76</v>
      </c>
      <c r="D1133" s="0" t="n">
        <v>75</v>
      </c>
      <c r="E1133" s="0" t="n">
        <v>1570805.77</v>
      </c>
    </row>
    <row r="1134" customFormat="false" ht="15" hidden="false" customHeight="false" outlineLevel="0" collapsed="false">
      <c r="A1134" s="0" t="s">
        <v>1188</v>
      </c>
      <c r="B1134" s="0" t="s">
        <v>49</v>
      </c>
      <c r="C1134" s="0" t="s">
        <v>53</v>
      </c>
      <c r="D1134" s="0" t="n">
        <v>17</v>
      </c>
      <c r="E1134" s="0" t="n">
        <v>610746.94</v>
      </c>
    </row>
    <row r="1135" customFormat="false" ht="15" hidden="false" customHeight="false" outlineLevel="0" collapsed="false">
      <c r="A1135" s="0" t="s">
        <v>1189</v>
      </c>
      <c r="B1135" s="0" t="s">
        <v>36</v>
      </c>
      <c r="C1135" s="0" t="s">
        <v>64</v>
      </c>
      <c r="D1135" s="0" t="n">
        <v>19</v>
      </c>
      <c r="E1135" s="0" t="n">
        <v>564570.57</v>
      </c>
    </row>
    <row r="1136" customFormat="false" ht="15" hidden="false" customHeight="false" outlineLevel="0" collapsed="false">
      <c r="A1136" s="0" t="s">
        <v>1190</v>
      </c>
      <c r="B1136" s="0" t="s">
        <v>49</v>
      </c>
      <c r="C1136" s="0" t="s">
        <v>81</v>
      </c>
      <c r="D1136" s="0" t="n">
        <v>34</v>
      </c>
      <c r="E1136" s="0" t="n">
        <v>1036917.86</v>
      </c>
    </row>
    <row r="1137" customFormat="false" ht="15" hidden="false" customHeight="false" outlineLevel="0" collapsed="false">
      <c r="A1137" s="0" t="s">
        <v>1191</v>
      </c>
      <c r="B1137" s="0" t="s">
        <v>36</v>
      </c>
      <c r="C1137" s="0" t="s">
        <v>64</v>
      </c>
      <c r="D1137" s="0" t="n">
        <v>10</v>
      </c>
      <c r="E1137" s="0" t="n">
        <v>759534.48</v>
      </c>
    </row>
    <row r="1138" customFormat="false" ht="15" hidden="false" customHeight="false" outlineLevel="0" collapsed="false">
      <c r="A1138" s="0" t="s">
        <v>1192</v>
      </c>
      <c r="B1138" s="0" t="s">
        <v>40</v>
      </c>
      <c r="C1138" s="0" t="s">
        <v>68</v>
      </c>
      <c r="D1138" s="0" t="n">
        <v>36</v>
      </c>
      <c r="E1138" s="0" t="n">
        <v>1392051.19</v>
      </c>
    </row>
    <row r="1139" customFormat="false" ht="15" hidden="false" customHeight="false" outlineLevel="0" collapsed="false">
      <c r="A1139" s="0" t="s">
        <v>1193</v>
      </c>
      <c r="B1139" s="0" t="s">
        <v>40</v>
      </c>
      <c r="C1139" s="0" t="s">
        <v>53</v>
      </c>
      <c r="D1139" s="0" t="n">
        <v>9</v>
      </c>
      <c r="E1139" s="0" t="n">
        <v>1192199.21</v>
      </c>
    </row>
    <row r="1140" customFormat="false" ht="15" hidden="false" customHeight="false" outlineLevel="0" collapsed="false">
      <c r="A1140" s="0" t="s">
        <v>1194</v>
      </c>
      <c r="B1140" s="0" t="s">
        <v>36</v>
      </c>
      <c r="C1140" s="0" t="s">
        <v>76</v>
      </c>
      <c r="D1140" s="0" t="n">
        <v>69</v>
      </c>
      <c r="E1140" s="0" t="n">
        <v>354766.4</v>
      </c>
    </row>
    <row r="1141" customFormat="false" ht="15" hidden="false" customHeight="false" outlineLevel="0" collapsed="false">
      <c r="A1141" s="0" t="s">
        <v>1195</v>
      </c>
      <c r="B1141" s="0" t="s">
        <v>36</v>
      </c>
      <c r="C1141" s="0" t="s">
        <v>44</v>
      </c>
      <c r="D1141" s="0" t="n">
        <v>56</v>
      </c>
      <c r="E1141" s="0" t="n">
        <v>799129.99</v>
      </c>
    </row>
    <row r="1142" customFormat="false" ht="15" hidden="false" customHeight="false" outlineLevel="0" collapsed="false">
      <c r="A1142" s="0" t="s">
        <v>1196</v>
      </c>
      <c r="B1142" s="0" t="s">
        <v>36</v>
      </c>
      <c r="C1142" s="0" t="s">
        <v>81</v>
      </c>
      <c r="D1142" s="0" t="n">
        <v>41</v>
      </c>
      <c r="E1142" s="0" t="n">
        <v>544143.63</v>
      </c>
    </row>
    <row r="1143" customFormat="false" ht="15" hidden="false" customHeight="false" outlineLevel="0" collapsed="false">
      <c r="A1143" s="0" t="s">
        <v>1197</v>
      </c>
      <c r="B1143" s="0" t="s">
        <v>36</v>
      </c>
      <c r="C1143" s="0" t="s">
        <v>44</v>
      </c>
      <c r="D1143" s="0" t="n">
        <v>45</v>
      </c>
      <c r="E1143" s="0" t="n">
        <v>651202.29</v>
      </c>
    </row>
    <row r="1144" customFormat="false" ht="15" hidden="false" customHeight="false" outlineLevel="0" collapsed="false">
      <c r="A1144" s="0" t="s">
        <v>1198</v>
      </c>
      <c r="B1144" s="0" t="s">
        <v>36</v>
      </c>
      <c r="C1144" s="0" t="s">
        <v>64</v>
      </c>
      <c r="D1144" s="0" t="n">
        <v>83</v>
      </c>
      <c r="E1144" s="0" t="n">
        <v>389774.04</v>
      </c>
    </row>
    <row r="1145" customFormat="false" ht="15" hidden="false" customHeight="false" outlineLevel="0" collapsed="false">
      <c r="A1145" s="0" t="s">
        <v>1199</v>
      </c>
      <c r="B1145" s="0" t="s">
        <v>49</v>
      </c>
      <c r="C1145" s="0" t="s">
        <v>53</v>
      </c>
      <c r="D1145" s="0" t="n">
        <v>27</v>
      </c>
      <c r="E1145" s="0" t="n">
        <v>844116</v>
      </c>
    </row>
    <row r="1146" customFormat="false" ht="15" hidden="false" customHeight="false" outlineLevel="0" collapsed="false">
      <c r="A1146" s="0" t="s">
        <v>1200</v>
      </c>
      <c r="B1146" s="0" t="s">
        <v>49</v>
      </c>
      <c r="C1146" s="0" t="s">
        <v>50</v>
      </c>
      <c r="D1146" s="0" t="n">
        <v>44</v>
      </c>
      <c r="E1146" s="0" t="n">
        <v>961391.68</v>
      </c>
    </row>
    <row r="1147" customFormat="false" ht="15" hidden="false" customHeight="false" outlineLevel="0" collapsed="false">
      <c r="A1147" s="0" t="s">
        <v>1201</v>
      </c>
      <c r="B1147" s="0" t="s">
        <v>40</v>
      </c>
      <c r="C1147" s="0" t="s">
        <v>53</v>
      </c>
      <c r="D1147" s="0" t="n">
        <v>79</v>
      </c>
      <c r="E1147" s="0" t="n">
        <v>1293645.18</v>
      </c>
    </row>
    <row r="1148" customFormat="false" ht="15" hidden="false" customHeight="false" outlineLevel="0" collapsed="false">
      <c r="A1148" s="0" t="s">
        <v>1202</v>
      </c>
      <c r="B1148" s="0" t="s">
        <v>49</v>
      </c>
      <c r="C1148" s="0" t="s">
        <v>44</v>
      </c>
      <c r="D1148" s="0" t="n">
        <v>70</v>
      </c>
      <c r="E1148" s="0" t="n">
        <v>641156.89</v>
      </c>
    </row>
    <row r="1149" customFormat="false" ht="15" hidden="false" customHeight="false" outlineLevel="0" collapsed="false">
      <c r="A1149" s="0" t="s">
        <v>1203</v>
      </c>
      <c r="B1149" s="0" t="s">
        <v>49</v>
      </c>
      <c r="C1149" s="0" t="s">
        <v>68</v>
      </c>
      <c r="D1149" s="0" t="n">
        <v>25</v>
      </c>
      <c r="E1149" s="0" t="n">
        <v>1001239.99</v>
      </c>
    </row>
    <row r="1150" customFormat="false" ht="15" hidden="false" customHeight="false" outlineLevel="0" collapsed="false">
      <c r="A1150" s="0" t="s">
        <v>1204</v>
      </c>
      <c r="B1150" s="0" t="s">
        <v>40</v>
      </c>
      <c r="C1150" s="0" t="s">
        <v>64</v>
      </c>
      <c r="D1150" s="0" t="n">
        <v>12</v>
      </c>
      <c r="E1150" s="0" t="n">
        <v>1994062.61</v>
      </c>
    </row>
    <row r="1151" customFormat="false" ht="15" hidden="false" customHeight="false" outlineLevel="0" collapsed="false">
      <c r="A1151" s="0" t="s">
        <v>1205</v>
      </c>
      <c r="B1151" s="0" t="s">
        <v>66</v>
      </c>
      <c r="C1151" s="0" t="s">
        <v>50</v>
      </c>
      <c r="D1151" s="0" t="n">
        <v>41</v>
      </c>
      <c r="E1151" s="0" t="n">
        <v>2109424.69</v>
      </c>
    </row>
    <row r="1152" customFormat="false" ht="15" hidden="false" customHeight="false" outlineLevel="0" collapsed="false">
      <c r="A1152" s="0" t="s">
        <v>1206</v>
      </c>
      <c r="B1152" s="0" t="s">
        <v>40</v>
      </c>
      <c r="C1152" s="0" t="s">
        <v>44</v>
      </c>
      <c r="D1152" s="0" t="n">
        <v>58</v>
      </c>
      <c r="E1152" s="0" t="n">
        <v>1680050.18</v>
      </c>
    </row>
    <row r="1153" customFormat="false" ht="15" hidden="false" customHeight="false" outlineLevel="0" collapsed="false">
      <c r="A1153" s="0" t="s">
        <v>1207</v>
      </c>
      <c r="B1153" s="0" t="s">
        <v>49</v>
      </c>
      <c r="C1153" s="0" t="s">
        <v>41</v>
      </c>
      <c r="D1153" s="0" t="n">
        <v>19</v>
      </c>
      <c r="E1153" s="0" t="n">
        <v>464899.91</v>
      </c>
    </row>
    <row r="1154" customFormat="false" ht="15" hidden="false" customHeight="false" outlineLevel="0" collapsed="false">
      <c r="A1154" s="0" t="s">
        <v>1208</v>
      </c>
      <c r="B1154" s="0" t="s">
        <v>49</v>
      </c>
      <c r="C1154" s="0" t="s">
        <v>53</v>
      </c>
      <c r="D1154" s="0" t="n">
        <v>89</v>
      </c>
      <c r="E1154" s="0" t="n">
        <v>1038316.91</v>
      </c>
    </row>
    <row r="1155" customFormat="false" ht="15" hidden="false" customHeight="false" outlineLevel="0" collapsed="false">
      <c r="A1155" s="0" t="s">
        <v>1209</v>
      </c>
      <c r="B1155" s="0" t="s">
        <v>36</v>
      </c>
      <c r="C1155" s="0" t="s">
        <v>53</v>
      </c>
      <c r="D1155" s="0" t="n">
        <v>40</v>
      </c>
      <c r="E1155" s="0" t="n">
        <v>406353.66</v>
      </c>
    </row>
    <row r="1156" customFormat="false" ht="15" hidden="false" customHeight="false" outlineLevel="0" collapsed="false">
      <c r="A1156" s="0" t="s">
        <v>1210</v>
      </c>
      <c r="B1156" s="0" t="s">
        <v>40</v>
      </c>
      <c r="C1156" s="0" t="s">
        <v>64</v>
      </c>
      <c r="D1156" s="0" t="n">
        <v>27</v>
      </c>
      <c r="E1156" s="0" t="n">
        <v>2043518.69</v>
      </c>
    </row>
    <row r="1157" customFormat="false" ht="15" hidden="false" customHeight="false" outlineLevel="0" collapsed="false">
      <c r="A1157" s="0" t="s">
        <v>1211</v>
      </c>
      <c r="B1157" s="0" t="s">
        <v>36</v>
      </c>
      <c r="C1157" s="0" t="s">
        <v>41</v>
      </c>
      <c r="D1157" s="0" t="n">
        <v>87</v>
      </c>
      <c r="E1157" s="0" t="n">
        <v>655558.31</v>
      </c>
    </row>
    <row r="1158" customFormat="false" ht="15" hidden="false" customHeight="false" outlineLevel="0" collapsed="false">
      <c r="A1158" s="0" t="s">
        <v>1212</v>
      </c>
      <c r="B1158" s="0" t="s">
        <v>36</v>
      </c>
      <c r="C1158" s="0" t="s">
        <v>53</v>
      </c>
      <c r="D1158" s="0" t="n">
        <v>86</v>
      </c>
      <c r="E1158" s="0" t="n">
        <v>677175.49</v>
      </c>
    </row>
    <row r="1159" customFormat="false" ht="15" hidden="false" customHeight="false" outlineLevel="0" collapsed="false">
      <c r="A1159" s="0" t="s">
        <v>1213</v>
      </c>
      <c r="B1159" s="0" t="s">
        <v>40</v>
      </c>
      <c r="C1159" s="0" t="s">
        <v>53</v>
      </c>
      <c r="D1159" s="0" t="n">
        <v>44</v>
      </c>
      <c r="E1159" s="0" t="n">
        <v>1092857.01</v>
      </c>
    </row>
    <row r="1160" customFormat="false" ht="15" hidden="false" customHeight="false" outlineLevel="0" collapsed="false">
      <c r="A1160" s="0" t="s">
        <v>1214</v>
      </c>
      <c r="B1160" s="0" t="s">
        <v>49</v>
      </c>
      <c r="C1160" s="0" t="s">
        <v>44</v>
      </c>
      <c r="D1160" s="0" t="n">
        <v>60</v>
      </c>
      <c r="E1160" s="0" t="n">
        <v>1073001.02</v>
      </c>
    </row>
    <row r="1161" customFormat="false" ht="15" hidden="false" customHeight="false" outlineLevel="0" collapsed="false">
      <c r="A1161" s="0" t="s">
        <v>1215</v>
      </c>
      <c r="B1161" s="0" t="s">
        <v>49</v>
      </c>
      <c r="C1161" s="0" t="s">
        <v>64</v>
      </c>
      <c r="D1161" s="0" t="n">
        <v>7</v>
      </c>
      <c r="E1161" s="0" t="n">
        <v>923797.72</v>
      </c>
    </row>
    <row r="1162" customFormat="false" ht="15" hidden="false" customHeight="false" outlineLevel="0" collapsed="false">
      <c r="A1162" s="0" t="s">
        <v>1216</v>
      </c>
      <c r="B1162" s="0" t="s">
        <v>40</v>
      </c>
      <c r="C1162" s="0" t="s">
        <v>53</v>
      </c>
      <c r="D1162" s="0" t="n">
        <v>82</v>
      </c>
      <c r="E1162" s="0" t="n">
        <v>1747463.66</v>
      </c>
    </row>
    <row r="1163" customFormat="false" ht="15" hidden="false" customHeight="false" outlineLevel="0" collapsed="false">
      <c r="A1163" s="0" t="s">
        <v>1217</v>
      </c>
      <c r="B1163" s="0" t="s">
        <v>36</v>
      </c>
      <c r="C1163" s="0" t="s">
        <v>76</v>
      </c>
      <c r="D1163" s="0" t="n">
        <v>7</v>
      </c>
      <c r="E1163" s="0" t="n">
        <v>888057.75</v>
      </c>
    </row>
    <row r="1164" customFormat="false" ht="15" hidden="false" customHeight="false" outlineLevel="0" collapsed="false">
      <c r="A1164" s="0" t="s">
        <v>1218</v>
      </c>
      <c r="B1164" s="0" t="s">
        <v>36</v>
      </c>
      <c r="C1164" s="0" t="s">
        <v>44</v>
      </c>
      <c r="D1164" s="0" t="n">
        <v>65</v>
      </c>
      <c r="E1164" s="0" t="n">
        <v>543735.75</v>
      </c>
    </row>
    <row r="1165" customFormat="false" ht="15" hidden="false" customHeight="false" outlineLevel="0" collapsed="false">
      <c r="A1165" s="0" t="s">
        <v>1219</v>
      </c>
      <c r="B1165" s="0" t="s">
        <v>40</v>
      </c>
      <c r="C1165" s="0" t="s">
        <v>53</v>
      </c>
      <c r="D1165" s="0" t="n">
        <v>36</v>
      </c>
      <c r="E1165" s="0" t="n">
        <v>2046758.72</v>
      </c>
    </row>
    <row r="1166" customFormat="false" ht="15" hidden="false" customHeight="false" outlineLevel="0" collapsed="false">
      <c r="A1166" s="0" t="s">
        <v>1220</v>
      </c>
      <c r="B1166" s="0" t="s">
        <v>66</v>
      </c>
      <c r="C1166" s="0" t="s">
        <v>41</v>
      </c>
      <c r="D1166" s="0" t="n">
        <v>43</v>
      </c>
      <c r="E1166" s="0" t="n">
        <v>2051574.18</v>
      </c>
    </row>
    <row r="1167" customFormat="false" ht="15" hidden="false" customHeight="false" outlineLevel="0" collapsed="false">
      <c r="A1167" s="0" t="s">
        <v>1221</v>
      </c>
      <c r="B1167" s="0" t="s">
        <v>36</v>
      </c>
      <c r="C1167" s="0" t="s">
        <v>53</v>
      </c>
      <c r="D1167" s="0" t="n">
        <v>7</v>
      </c>
      <c r="E1167" s="0" t="n">
        <v>378566.44</v>
      </c>
    </row>
    <row r="1168" customFormat="false" ht="15" hidden="false" customHeight="false" outlineLevel="0" collapsed="false">
      <c r="A1168" s="0" t="s">
        <v>1222</v>
      </c>
      <c r="B1168" s="0" t="s">
        <v>49</v>
      </c>
      <c r="C1168" s="0" t="s">
        <v>44</v>
      </c>
      <c r="D1168" s="0" t="n">
        <v>53</v>
      </c>
      <c r="E1168" s="0" t="n">
        <v>482536.86</v>
      </c>
    </row>
    <row r="1169" customFormat="false" ht="15" hidden="false" customHeight="false" outlineLevel="0" collapsed="false">
      <c r="A1169" s="0" t="s">
        <v>1223</v>
      </c>
      <c r="B1169" s="0" t="s">
        <v>40</v>
      </c>
      <c r="C1169" s="0" t="s">
        <v>89</v>
      </c>
      <c r="D1169" s="0" t="n">
        <v>93</v>
      </c>
      <c r="E1169" s="0" t="n">
        <v>1656471.02</v>
      </c>
    </row>
    <row r="1170" customFormat="false" ht="15" hidden="false" customHeight="false" outlineLevel="0" collapsed="false">
      <c r="A1170" s="0" t="s">
        <v>1224</v>
      </c>
      <c r="B1170" s="0" t="s">
        <v>49</v>
      </c>
      <c r="C1170" s="0" t="s">
        <v>64</v>
      </c>
      <c r="D1170" s="0" t="n">
        <v>15</v>
      </c>
      <c r="E1170" s="0" t="n">
        <v>767458.73</v>
      </c>
    </row>
    <row r="1171" customFormat="false" ht="15" hidden="false" customHeight="false" outlineLevel="0" collapsed="false">
      <c r="A1171" s="0" t="s">
        <v>1225</v>
      </c>
      <c r="B1171" s="0" t="s">
        <v>36</v>
      </c>
      <c r="C1171" s="0" t="s">
        <v>76</v>
      </c>
      <c r="D1171" s="0" t="n">
        <v>5</v>
      </c>
      <c r="E1171" s="0" t="n">
        <v>775704.11</v>
      </c>
    </row>
    <row r="1172" customFormat="false" ht="15" hidden="false" customHeight="false" outlineLevel="0" collapsed="false">
      <c r="A1172" s="0" t="s">
        <v>1226</v>
      </c>
      <c r="B1172" s="0" t="s">
        <v>49</v>
      </c>
      <c r="C1172" s="0" t="s">
        <v>44</v>
      </c>
      <c r="D1172" s="0" t="n">
        <v>9</v>
      </c>
      <c r="E1172" s="0" t="n">
        <v>1088192.03</v>
      </c>
    </row>
    <row r="1173" customFormat="false" ht="15" hidden="false" customHeight="false" outlineLevel="0" collapsed="false">
      <c r="A1173" s="0" t="s">
        <v>1227</v>
      </c>
      <c r="B1173" s="0" t="s">
        <v>36</v>
      </c>
      <c r="C1173" s="0" t="s">
        <v>41</v>
      </c>
      <c r="D1173" s="0" t="n">
        <v>68</v>
      </c>
      <c r="E1173" s="0" t="n">
        <v>361747.7</v>
      </c>
    </row>
    <row r="1174" customFormat="false" ht="15" hidden="false" customHeight="false" outlineLevel="0" collapsed="false">
      <c r="A1174" s="0" t="s">
        <v>1228</v>
      </c>
      <c r="B1174" s="0" t="s">
        <v>36</v>
      </c>
      <c r="C1174" s="0" t="s">
        <v>44</v>
      </c>
      <c r="D1174" s="0" t="n">
        <v>20</v>
      </c>
      <c r="E1174" s="0" t="n">
        <v>742706.1</v>
      </c>
    </row>
    <row r="1175" customFormat="false" ht="15" hidden="false" customHeight="false" outlineLevel="0" collapsed="false">
      <c r="A1175" s="0" t="s">
        <v>1229</v>
      </c>
      <c r="B1175" s="0" t="s">
        <v>36</v>
      </c>
      <c r="C1175" s="0" t="s">
        <v>89</v>
      </c>
      <c r="D1175" s="0" t="n">
        <v>24</v>
      </c>
      <c r="E1175" s="0" t="n">
        <v>403149.47</v>
      </c>
    </row>
    <row r="1176" customFormat="false" ht="15" hidden="false" customHeight="false" outlineLevel="0" collapsed="false">
      <c r="A1176" s="0" t="s">
        <v>1230</v>
      </c>
      <c r="B1176" s="0" t="s">
        <v>36</v>
      </c>
      <c r="C1176" s="0" t="s">
        <v>41</v>
      </c>
      <c r="D1176" s="0" t="n">
        <v>90</v>
      </c>
      <c r="E1176" s="0" t="n">
        <v>512090.69</v>
      </c>
    </row>
    <row r="1177" customFormat="false" ht="15" hidden="false" customHeight="false" outlineLevel="0" collapsed="false">
      <c r="A1177" s="0" t="s">
        <v>1231</v>
      </c>
      <c r="B1177" s="0" t="s">
        <v>49</v>
      </c>
      <c r="C1177" s="0" t="s">
        <v>64</v>
      </c>
      <c r="D1177" s="0" t="n">
        <v>46</v>
      </c>
      <c r="E1177" s="0" t="n">
        <v>955590.48</v>
      </c>
    </row>
    <row r="1178" customFormat="false" ht="15" hidden="false" customHeight="false" outlineLevel="0" collapsed="false">
      <c r="A1178" s="0" t="s">
        <v>1232</v>
      </c>
      <c r="B1178" s="0" t="s">
        <v>40</v>
      </c>
      <c r="C1178" s="0" t="s">
        <v>44</v>
      </c>
      <c r="D1178" s="0" t="n">
        <v>49</v>
      </c>
      <c r="E1178" s="0" t="n">
        <v>1876142.34</v>
      </c>
    </row>
    <row r="1179" customFormat="false" ht="15" hidden="false" customHeight="false" outlineLevel="0" collapsed="false">
      <c r="A1179" s="0" t="s">
        <v>1233</v>
      </c>
      <c r="B1179" s="0" t="s">
        <v>36</v>
      </c>
      <c r="C1179" s="0" t="s">
        <v>50</v>
      </c>
      <c r="D1179" s="0" t="n">
        <v>45</v>
      </c>
      <c r="E1179" s="0" t="n">
        <v>492560.93</v>
      </c>
    </row>
    <row r="1180" customFormat="false" ht="15" hidden="false" customHeight="false" outlineLevel="0" collapsed="false">
      <c r="A1180" s="0" t="s">
        <v>1234</v>
      </c>
      <c r="B1180" s="0" t="s">
        <v>40</v>
      </c>
      <c r="C1180" s="0" t="s">
        <v>64</v>
      </c>
      <c r="D1180" s="0" t="n">
        <v>48</v>
      </c>
      <c r="E1180" s="0" t="n">
        <v>1496008.43</v>
      </c>
    </row>
    <row r="1181" customFormat="false" ht="15" hidden="false" customHeight="false" outlineLevel="0" collapsed="false">
      <c r="A1181" s="0" t="s">
        <v>1235</v>
      </c>
      <c r="B1181" s="0" t="s">
        <v>36</v>
      </c>
      <c r="C1181" s="0" t="s">
        <v>76</v>
      </c>
      <c r="D1181" s="0" t="n">
        <v>59</v>
      </c>
      <c r="E1181" s="0" t="n">
        <v>621132.07</v>
      </c>
    </row>
    <row r="1182" customFormat="false" ht="15" hidden="false" customHeight="false" outlineLevel="0" collapsed="false">
      <c r="A1182" s="0" t="s">
        <v>1236</v>
      </c>
      <c r="B1182" s="0" t="s">
        <v>36</v>
      </c>
      <c r="C1182" s="0" t="s">
        <v>81</v>
      </c>
      <c r="D1182" s="0" t="n">
        <v>57</v>
      </c>
      <c r="E1182" s="0" t="n">
        <v>524309.31</v>
      </c>
    </row>
    <row r="1183" customFormat="false" ht="15" hidden="false" customHeight="false" outlineLevel="0" collapsed="false">
      <c r="A1183" s="0" t="s">
        <v>1237</v>
      </c>
      <c r="B1183" s="0" t="s">
        <v>36</v>
      </c>
      <c r="C1183" s="0" t="s">
        <v>53</v>
      </c>
      <c r="D1183" s="0" t="n">
        <v>33</v>
      </c>
      <c r="E1183" s="0" t="n">
        <v>757295.76</v>
      </c>
    </row>
    <row r="1184" customFormat="false" ht="15" hidden="false" customHeight="false" outlineLevel="0" collapsed="false">
      <c r="A1184" s="0" t="s">
        <v>1238</v>
      </c>
      <c r="B1184" s="0" t="s">
        <v>66</v>
      </c>
      <c r="C1184" s="0" t="s">
        <v>44</v>
      </c>
      <c r="D1184" s="0" t="n">
        <v>63</v>
      </c>
      <c r="E1184" s="0" t="n">
        <v>3180685.45</v>
      </c>
    </row>
    <row r="1185" customFormat="false" ht="15" hidden="false" customHeight="false" outlineLevel="0" collapsed="false">
      <c r="A1185" s="0" t="s">
        <v>1239</v>
      </c>
      <c r="B1185" s="0" t="s">
        <v>40</v>
      </c>
      <c r="C1185" s="0" t="s">
        <v>81</v>
      </c>
      <c r="D1185" s="0" t="n">
        <v>26</v>
      </c>
      <c r="E1185" s="0" t="n">
        <v>1285975.01</v>
      </c>
    </row>
    <row r="1186" customFormat="false" ht="15" hidden="false" customHeight="false" outlineLevel="0" collapsed="false">
      <c r="A1186" s="0" t="s">
        <v>1240</v>
      </c>
      <c r="B1186" s="0" t="s">
        <v>49</v>
      </c>
      <c r="C1186" s="0" t="s">
        <v>81</v>
      </c>
      <c r="D1186" s="0" t="n">
        <v>36</v>
      </c>
      <c r="E1186" s="0" t="n">
        <v>706359.63</v>
      </c>
    </row>
    <row r="1187" customFormat="false" ht="15" hidden="false" customHeight="false" outlineLevel="0" collapsed="false">
      <c r="A1187" s="0" t="s">
        <v>1241</v>
      </c>
      <c r="B1187" s="0" t="s">
        <v>49</v>
      </c>
      <c r="C1187" s="0" t="s">
        <v>37</v>
      </c>
      <c r="D1187" s="0" t="n">
        <v>44</v>
      </c>
      <c r="E1187" s="0" t="n">
        <v>626080.77</v>
      </c>
    </row>
    <row r="1188" customFormat="false" ht="15" hidden="false" customHeight="false" outlineLevel="0" collapsed="false">
      <c r="A1188" s="0" t="s">
        <v>1242</v>
      </c>
      <c r="B1188" s="0" t="s">
        <v>40</v>
      </c>
      <c r="C1188" s="0" t="s">
        <v>64</v>
      </c>
      <c r="D1188" s="0" t="n">
        <v>31</v>
      </c>
      <c r="E1188" s="0" t="n">
        <v>1773976.31</v>
      </c>
    </row>
    <row r="1189" customFormat="false" ht="15" hidden="false" customHeight="false" outlineLevel="0" collapsed="false">
      <c r="A1189" s="0" t="s">
        <v>1243</v>
      </c>
      <c r="B1189" s="0" t="s">
        <v>36</v>
      </c>
      <c r="C1189" s="0" t="s">
        <v>68</v>
      </c>
      <c r="D1189" s="0" t="n">
        <v>41</v>
      </c>
      <c r="E1189" s="0" t="n">
        <v>445236.31</v>
      </c>
    </row>
    <row r="1190" customFormat="false" ht="15" hidden="false" customHeight="false" outlineLevel="0" collapsed="false">
      <c r="A1190" s="0" t="s">
        <v>1244</v>
      </c>
      <c r="B1190" s="0" t="s">
        <v>36</v>
      </c>
      <c r="C1190" s="0" t="s">
        <v>53</v>
      </c>
      <c r="D1190" s="0" t="n">
        <v>64</v>
      </c>
      <c r="E1190" s="0" t="n">
        <v>551594.45</v>
      </c>
    </row>
    <row r="1191" customFormat="false" ht="15" hidden="false" customHeight="false" outlineLevel="0" collapsed="false">
      <c r="A1191" s="0" t="s">
        <v>1245</v>
      </c>
      <c r="B1191" s="0" t="s">
        <v>36</v>
      </c>
      <c r="C1191" s="0" t="s">
        <v>64</v>
      </c>
      <c r="D1191" s="0" t="n">
        <v>24</v>
      </c>
      <c r="E1191" s="0" t="n">
        <v>758252.19</v>
      </c>
    </row>
    <row r="1192" customFormat="false" ht="15" hidden="false" customHeight="false" outlineLevel="0" collapsed="false">
      <c r="A1192" s="0" t="s">
        <v>1246</v>
      </c>
      <c r="B1192" s="0" t="s">
        <v>36</v>
      </c>
      <c r="C1192" s="0" t="s">
        <v>41</v>
      </c>
      <c r="D1192" s="0" t="n">
        <v>15</v>
      </c>
      <c r="E1192" s="0" t="n">
        <v>669694.35</v>
      </c>
    </row>
    <row r="1193" customFormat="false" ht="15" hidden="false" customHeight="false" outlineLevel="0" collapsed="false">
      <c r="A1193" s="0" t="s">
        <v>1247</v>
      </c>
      <c r="B1193" s="0" t="s">
        <v>36</v>
      </c>
      <c r="C1193" s="0" t="s">
        <v>68</v>
      </c>
      <c r="D1193" s="0" t="n">
        <v>13</v>
      </c>
      <c r="E1193" s="0" t="n">
        <v>726520.42</v>
      </c>
    </row>
    <row r="1194" customFormat="false" ht="15" hidden="false" customHeight="false" outlineLevel="0" collapsed="false">
      <c r="A1194" s="0" t="s">
        <v>1248</v>
      </c>
      <c r="B1194" s="0" t="s">
        <v>36</v>
      </c>
      <c r="C1194" s="0" t="s">
        <v>44</v>
      </c>
      <c r="D1194" s="0" t="n">
        <v>84</v>
      </c>
      <c r="E1194" s="0" t="n">
        <v>360661.84</v>
      </c>
    </row>
    <row r="1195" customFormat="false" ht="15" hidden="false" customHeight="false" outlineLevel="0" collapsed="false">
      <c r="A1195" s="0" t="s">
        <v>1249</v>
      </c>
      <c r="B1195" s="0" t="s">
        <v>49</v>
      </c>
      <c r="C1195" s="0" t="s">
        <v>64</v>
      </c>
      <c r="D1195" s="0" t="n">
        <v>37</v>
      </c>
      <c r="E1195" s="0" t="n">
        <v>1120248.08</v>
      </c>
    </row>
    <row r="1196" customFormat="false" ht="15" hidden="false" customHeight="false" outlineLevel="0" collapsed="false">
      <c r="A1196" s="0" t="s">
        <v>1250</v>
      </c>
      <c r="B1196" s="0" t="s">
        <v>36</v>
      </c>
      <c r="C1196" s="0" t="s">
        <v>64</v>
      </c>
      <c r="D1196" s="0" t="n">
        <v>80</v>
      </c>
      <c r="E1196" s="0" t="n">
        <v>756031.45</v>
      </c>
    </row>
    <row r="1197" customFormat="false" ht="15" hidden="false" customHeight="false" outlineLevel="0" collapsed="false">
      <c r="A1197" s="0" t="s">
        <v>1251</v>
      </c>
      <c r="B1197" s="0" t="s">
        <v>49</v>
      </c>
      <c r="C1197" s="0" t="s">
        <v>44</v>
      </c>
      <c r="D1197" s="0" t="n">
        <v>49</v>
      </c>
      <c r="E1197" s="0" t="n">
        <v>897729.48</v>
      </c>
    </row>
    <row r="1198" customFormat="false" ht="15" hidden="false" customHeight="false" outlineLevel="0" collapsed="false">
      <c r="A1198" s="0" t="s">
        <v>1252</v>
      </c>
      <c r="B1198" s="0" t="s">
        <v>36</v>
      </c>
      <c r="C1198" s="0" t="s">
        <v>89</v>
      </c>
      <c r="D1198" s="0" t="n">
        <v>34</v>
      </c>
      <c r="E1198" s="0" t="n">
        <v>417372.67</v>
      </c>
    </row>
    <row r="1199" customFormat="false" ht="15" hidden="false" customHeight="false" outlineLevel="0" collapsed="false">
      <c r="A1199" s="0" t="s">
        <v>1253</v>
      </c>
      <c r="B1199" s="0" t="s">
        <v>36</v>
      </c>
      <c r="C1199" s="0" t="s">
        <v>81</v>
      </c>
      <c r="D1199" s="0" t="n">
        <v>92</v>
      </c>
      <c r="E1199" s="0" t="n">
        <v>521590.46</v>
      </c>
    </row>
    <row r="1200" customFormat="false" ht="15" hidden="false" customHeight="false" outlineLevel="0" collapsed="false">
      <c r="A1200" s="0" t="s">
        <v>1254</v>
      </c>
      <c r="B1200" s="0" t="s">
        <v>40</v>
      </c>
      <c r="C1200" s="0" t="s">
        <v>53</v>
      </c>
      <c r="D1200" s="0" t="n">
        <v>34</v>
      </c>
      <c r="E1200" s="0" t="n">
        <v>1675591.77</v>
      </c>
    </row>
    <row r="1201" customFormat="false" ht="15" hidden="false" customHeight="false" outlineLevel="0" collapsed="false">
      <c r="A1201" s="0" t="s">
        <v>1255</v>
      </c>
      <c r="B1201" s="0" t="s">
        <v>40</v>
      </c>
      <c r="C1201" s="0" t="s">
        <v>53</v>
      </c>
      <c r="D1201" s="0" t="n">
        <v>65</v>
      </c>
      <c r="E1201" s="0" t="n">
        <v>1957136.65</v>
      </c>
    </row>
    <row r="1202" customFormat="false" ht="15" hidden="false" customHeight="false" outlineLevel="0" collapsed="false">
      <c r="A1202" s="0" t="s">
        <v>1256</v>
      </c>
      <c r="B1202" s="0" t="s">
        <v>40</v>
      </c>
      <c r="C1202" s="0" t="s">
        <v>53</v>
      </c>
      <c r="D1202" s="0" t="n">
        <v>54</v>
      </c>
      <c r="E1202" s="0" t="n">
        <v>1560874.08</v>
      </c>
    </row>
    <row r="1203" customFormat="false" ht="15" hidden="false" customHeight="false" outlineLevel="0" collapsed="false">
      <c r="A1203" s="0" t="s">
        <v>1257</v>
      </c>
      <c r="B1203" s="0" t="s">
        <v>36</v>
      </c>
      <c r="C1203" s="0" t="s">
        <v>44</v>
      </c>
      <c r="D1203" s="0" t="n">
        <v>79</v>
      </c>
      <c r="E1203" s="0" t="n">
        <v>349123.31</v>
      </c>
    </row>
    <row r="1204" customFormat="false" ht="15" hidden="false" customHeight="false" outlineLevel="0" collapsed="false">
      <c r="A1204" s="0" t="s">
        <v>1258</v>
      </c>
      <c r="B1204" s="0" t="s">
        <v>36</v>
      </c>
      <c r="C1204" s="0" t="s">
        <v>50</v>
      </c>
      <c r="D1204" s="0" t="n">
        <v>37</v>
      </c>
      <c r="E1204" s="0" t="n">
        <v>449674.51</v>
      </c>
    </row>
    <row r="1205" customFormat="false" ht="15" hidden="false" customHeight="false" outlineLevel="0" collapsed="false">
      <c r="A1205" s="0" t="s">
        <v>1259</v>
      </c>
      <c r="B1205" s="0" t="s">
        <v>49</v>
      </c>
      <c r="C1205" s="0" t="s">
        <v>68</v>
      </c>
      <c r="D1205" s="0" t="n">
        <v>53</v>
      </c>
      <c r="E1205" s="0" t="n">
        <v>1122585.93</v>
      </c>
    </row>
    <row r="1206" customFormat="false" ht="15" hidden="false" customHeight="false" outlineLevel="0" collapsed="false">
      <c r="A1206" s="0" t="s">
        <v>1260</v>
      </c>
      <c r="B1206" s="0" t="s">
        <v>36</v>
      </c>
      <c r="C1206" s="0" t="s">
        <v>53</v>
      </c>
      <c r="D1206" s="0" t="n">
        <v>23</v>
      </c>
      <c r="E1206" s="0" t="n">
        <v>457853.61</v>
      </c>
    </row>
    <row r="1207" customFormat="false" ht="15" hidden="false" customHeight="false" outlineLevel="0" collapsed="false">
      <c r="A1207" s="0" t="s">
        <v>1261</v>
      </c>
      <c r="B1207" s="0" t="s">
        <v>40</v>
      </c>
      <c r="C1207" s="0" t="s">
        <v>68</v>
      </c>
      <c r="D1207" s="0" t="n">
        <v>39</v>
      </c>
      <c r="E1207" s="0" t="n">
        <v>1998697.01</v>
      </c>
    </row>
    <row r="1208" customFormat="false" ht="15" hidden="false" customHeight="false" outlineLevel="0" collapsed="false">
      <c r="A1208" s="0" t="s">
        <v>1262</v>
      </c>
      <c r="B1208" s="0" t="s">
        <v>36</v>
      </c>
      <c r="C1208" s="0" t="s">
        <v>41</v>
      </c>
      <c r="D1208" s="0" t="n">
        <v>18</v>
      </c>
      <c r="E1208" s="0" t="n">
        <v>589790.7</v>
      </c>
    </row>
    <row r="1209" customFormat="false" ht="15" hidden="false" customHeight="false" outlineLevel="0" collapsed="false">
      <c r="A1209" s="0" t="s">
        <v>1263</v>
      </c>
      <c r="B1209" s="0" t="s">
        <v>40</v>
      </c>
      <c r="C1209" s="0" t="s">
        <v>44</v>
      </c>
      <c r="D1209" s="0" t="n">
        <v>41</v>
      </c>
      <c r="E1209" s="0" t="n">
        <v>1541610.53</v>
      </c>
    </row>
    <row r="1210" customFormat="false" ht="15" hidden="false" customHeight="false" outlineLevel="0" collapsed="false">
      <c r="A1210" s="0" t="s">
        <v>1264</v>
      </c>
      <c r="B1210" s="0" t="s">
        <v>49</v>
      </c>
      <c r="C1210" s="0" t="s">
        <v>41</v>
      </c>
      <c r="D1210" s="0" t="n">
        <v>20</v>
      </c>
      <c r="E1210" s="0" t="n">
        <v>514800.69</v>
      </c>
    </row>
    <row r="1211" customFormat="false" ht="15" hidden="false" customHeight="false" outlineLevel="0" collapsed="false">
      <c r="A1211" s="0" t="s">
        <v>1265</v>
      </c>
      <c r="B1211" s="0" t="s">
        <v>49</v>
      </c>
      <c r="C1211" s="0" t="s">
        <v>50</v>
      </c>
      <c r="D1211" s="0" t="n">
        <v>70</v>
      </c>
      <c r="E1211" s="0" t="n">
        <v>493775.01</v>
      </c>
    </row>
    <row r="1212" customFormat="false" ht="15" hidden="false" customHeight="false" outlineLevel="0" collapsed="false">
      <c r="A1212" s="0" t="s">
        <v>1266</v>
      </c>
      <c r="B1212" s="0" t="s">
        <v>40</v>
      </c>
      <c r="C1212" s="0" t="s">
        <v>76</v>
      </c>
      <c r="D1212" s="0" t="n">
        <v>79</v>
      </c>
      <c r="E1212" s="0" t="n">
        <v>1808539.54</v>
      </c>
    </row>
    <row r="1213" customFormat="false" ht="15" hidden="false" customHeight="false" outlineLevel="0" collapsed="false">
      <c r="A1213" s="0" t="s">
        <v>1267</v>
      </c>
      <c r="B1213" s="0" t="s">
        <v>36</v>
      </c>
      <c r="C1213" s="0" t="s">
        <v>81</v>
      </c>
      <c r="D1213" s="0" t="n">
        <v>69</v>
      </c>
      <c r="E1213" s="0" t="n">
        <v>588491.99</v>
      </c>
    </row>
    <row r="1214" customFormat="false" ht="15" hidden="false" customHeight="false" outlineLevel="0" collapsed="false">
      <c r="A1214" s="0" t="s">
        <v>1268</v>
      </c>
      <c r="B1214" s="0" t="s">
        <v>49</v>
      </c>
      <c r="C1214" s="0" t="s">
        <v>68</v>
      </c>
      <c r="D1214" s="0" t="n">
        <v>3</v>
      </c>
      <c r="E1214" s="0" t="n">
        <v>668281.31</v>
      </c>
    </row>
    <row r="1215" customFormat="false" ht="15" hidden="false" customHeight="false" outlineLevel="0" collapsed="false">
      <c r="A1215" s="0" t="s">
        <v>1269</v>
      </c>
      <c r="B1215" s="0" t="s">
        <v>49</v>
      </c>
      <c r="C1215" s="0" t="s">
        <v>68</v>
      </c>
      <c r="D1215" s="0" t="n">
        <v>9</v>
      </c>
      <c r="E1215" s="0" t="n">
        <v>845771.09</v>
      </c>
    </row>
    <row r="1216" customFormat="false" ht="15" hidden="false" customHeight="false" outlineLevel="0" collapsed="false">
      <c r="A1216" s="0" t="s">
        <v>1270</v>
      </c>
      <c r="B1216" s="0" t="s">
        <v>40</v>
      </c>
      <c r="C1216" s="0" t="s">
        <v>68</v>
      </c>
      <c r="D1216" s="0" t="n">
        <v>13</v>
      </c>
      <c r="E1216" s="0" t="n">
        <v>1621727.89</v>
      </c>
    </row>
    <row r="1217" customFormat="false" ht="15" hidden="false" customHeight="false" outlineLevel="0" collapsed="false">
      <c r="A1217" s="0" t="s">
        <v>1271</v>
      </c>
      <c r="B1217" s="0" t="s">
        <v>36</v>
      </c>
      <c r="C1217" s="0" t="s">
        <v>53</v>
      </c>
      <c r="D1217" s="0" t="n">
        <v>19</v>
      </c>
      <c r="E1217" s="0" t="n">
        <v>617123.67</v>
      </c>
    </row>
    <row r="1218" customFormat="false" ht="15" hidden="false" customHeight="false" outlineLevel="0" collapsed="false">
      <c r="A1218" s="0" t="s">
        <v>1272</v>
      </c>
      <c r="B1218" s="0" t="s">
        <v>40</v>
      </c>
      <c r="C1218" s="0" t="s">
        <v>44</v>
      </c>
      <c r="D1218" s="0" t="n">
        <v>20</v>
      </c>
      <c r="E1218" s="0" t="n">
        <v>1535763.48</v>
      </c>
    </row>
    <row r="1219" customFormat="false" ht="15" hidden="false" customHeight="false" outlineLevel="0" collapsed="false">
      <c r="A1219" s="0" t="s">
        <v>1273</v>
      </c>
      <c r="B1219" s="0" t="s">
        <v>36</v>
      </c>
      <c r="C1219" s="0" t="s">
        <v>44</v>
      </c>
      <c r="D1219" s="0" t="n">
        <v>44</v>
      </c>
      <c r="E1219" s="0" t="n">
        <v>478930.65</v>
      </c>
    </row>
    <row r="1220" customFormat="false" ht="15" hidden="false" customHeight="false" outlineLevel="0" collapsed="false">
      <c r="A1220" s="0" t="s">
        <v>1274</v>
      </c>
      <c r="B1220" s="0" t="s">
        <v>49</v>
      </c>
      <c r="C1220" s="0" t="s">
        <v>37</v>
      </c>
      <c r="D1220" s="0" t="n">
        <v>83</v>
      </c>
      <c r="E1220" s="0" t="n">
        <v>541452.84</v>
      </c>
    </row>
    <row r="1221" customFormat="false" ht="15" hidden="false" customHeight="false" outlineLevel="0" collapsed="false">
      <c r="A1221" s="0" t="s">
        <v>1275</v>
      </c>
      <c r="B1221" s="0" t="s">
        <v>36</v>
      </c>
      <c r="C1221" s="0" t="s">
        <v>68</v>
      </c>
      <c r="D1221" s="0" t="n">
        <v>43</v>
      </c>
      <c r="E1221" s="0" t="n">
        <v>434250.07</v>
      </c>
    </row>
    <row r="1222" customFormat="false" ht="15" hidden="false" customHeight="false" outlineLevel="0" collapsed="false">
      <c r="A1222" s="0" t="s">
        <v>1276</v>
      </c>
      <c r="B1222" s="0" t="s">
        <v>40</v>
      </c>
      <c r="C1222" s="0" t="s">
        <v>64</v>
      </c>
      <c r="D1222" s="0" t="n">
        <v>33</v>
      </c>
      <c r="E1222" s="0" t="n">
        <v>1309419.82</v>
      </c>
    </row>
    <row r="1223" customFormat="false" ht="15" hidden="false" customHeight="false" outlineLevel="0" collapsed="false">
      <c r="A1223" s="0" t="s">
        <v>1277</v>
      </c>
      <c r="B1223" s="0" t="s">
        <v>49</v>
      </c>
      <c r="C1223" s="0" t="s">
        <v>53</v>
      </c>
      <c r="D1223" s="0" t="n">
        <v>5</v>
      </c>
      <c r="E1223" s="0" t="n">
        <v>648624.61</v>
      </c>
    </row>
    <row r="1224" customFormat="false" ht="15" hidden="false" customHeight="false" outlineLevel="0" collapsed="false">
      <c r="A1224" s="0" t="s">
        <v>1278</v>
      </c>
      <c r="B1224" s="0" t="s">
        <v>36</v>
      </c>
      <c r="C1224" s="0" t="s">
        <v>64</v>
      </c>
      <c r="D1224" s="0" t="n">
        <v>18</v>
      </c>
      <c r="E1224" s="0" t="n">
        <v>730083.56</v>
      </c>
    </row>
    <row r="1225" customFormat="false" ht="15" hidden="false" customHeight="false" outlineLevel="0" collapsed="false">
      <c r="A1225" s="0" t="s">
        <v>1279</v>
      </c>
      <c r="B1225" s="0" t="s">
        <v>49</v>
      </c>
      <c r="C1225" s="0" t="s">
        <v>44</v>
      </c>
      <c r="D1225" s="0" t="n">
        <v>16</v>
      </c>
      <c r="E1225" s="0" t="n">
        <v>791597.11</v>
      </c>
    </row>
    <row r="1226" customFormat="false" ht="15" hidden="false" customHeight="false" outlineLevel="0" collapsed="false">
      <c r="A1226" s="0" t="s">
        <v>1280</v>
      </c>
      <c r="B1226" s="0" t="s">
        <v>40</v>
      </c>
      <c r="C1226" s="0" t="s">
        <v>50</v>
      </c>
      <c r="D1226" s="0" t="n">
        <v>69</v>
      </c>
      <c r="E1226" s="0" t="n">
        <v>1300312.03</v>
      </c>
    </row>
    <row r="1227" customFormat="false" ht="15" hidden="false" customHeight="false" outlineLevel="0" collapsed="false">
      <c r="A1227" s="0" t="s">
        <v>1281</v>
      </c>
      <c r="B1227" s="0" t="s">
        <v>49</v>
      </c>
      <c r="C1227" s="0" t="s">
        <v>41</v>
      </c>
      <c r="D1227" s="0" t="n">
        <v>49</v>
      </c>
      <c r="E1227" s="0" t="n">
        <v>760759.85</v>
      </c>
    </row>
    <row r="1228" customFormat="false" ht="15" hidden="false" customHeight="false" outlineLevel="0" collapsed="false">
      <c r="A1228" s="0" t="s">
        <v>1282</v>
      </c>
      <c r="B1228" s="0" t="s">
        <v>36</v>
      </c>
      <c r="C1228" s="0" t="s">
        <v>41</v>
      </c>
      <c r="D1228" s="0" t="n">
        <v>83</v>
      </c>
      <c r="E1228" s="0" t="n">
        <v>561432.48</v>
      </c>
    </row>
    <row r="1229" customFormat="false" ht="15" hidden="false" customHeight="false" outlineLevel="0" collapsed="false">
      <c r="A1229" s="0" t="s">
        <v>1283</v>
      </c>
      <c r="B1229" s="0" t="s">
        <v>40</v>
      </c>
      <c r="C1229" s="0" t="s">
        <v>81</v>
      </c>
      <c r="D1229" s="0" t="n">
        <v>56</v>
      </c>
      <c r="E1229" s="0" t="n">
        <v>872374.63</v>
      </c>
    </row>
    <row r="1230" customFormat="false" ht="15" hidden="false" customHeight="false" outlineLevel="0" collapsed="false">
      <c r="A1230" s="0" t="s">
        <v>1284</v>
      </c>
      <c r="B1230" s="0" t="s">
        <v>66</v>
      </c>
      <c r="C1230" s="0" t="s">
        <v>53</v>
      </c>
      <c r="D1230" s="0" t="n">
        <v>90</v>
      </c>
      <c r="E1230" s="0" t="n">
        <v>1985124.57</v>
      </c>
    </row>
    <row r="1231" customFormat="false" ht="15" hidden="false" customHeight="false" outlineLevel="0" collapsed="false">
      <c r="A1231" s="0" t="s">
        <v>1285</v>
      </c>
      <c r="B1231" s="0" t="s">
        <v>49</v>
      </c>
      <c r="C1231" s="0" t="s">
        <v>64</v>
      </c>
      <c r="D1231" s="0" t="n">
        <v>31</v>
      </c>
      <c r="E1231" s="0" t="n">
        <v>1098513.43</v>
      </c>
    </row>
    <row r="1232" customFormat="false" ht="15" hidden="false" customHeight="false" outlineLevel="0" collapsed="false">
      <c r="A1232" s="0" t="s">
        <v>1286</v>
      </c>
      <c r="B1232" s="0" t="s">
        <v>40</v>
      </c>
      <c r="C1232" s="0" t="s">
        <v>53</v>
      </c>
      <c r="D1232" s="0" t="n">
        <v>26</v>
      </c>
      <c r="E1232" s="0" t="n">
        <v>1207263.54</v>
      </c>
    </row>
    <row r="1233" customFormat="false" ht="15" hidden="false" customHeight="false" outlineLevel="0" collapsed="false">
      <c r="A1233" s="0" t="s">
        <v>1287</v>
      </c>
      <c r="B1233" s="0" t="s">
        <v>40</v>
      </c>
      <c r="C1233" s="0" t="s">
        <v>68</v>
      </c>
      <c r="D1233" s="0" t="n">
        <v>28</v>
      </c>
      <c r="E1233" s="0" t="n">
        <v>1390240.15</v>
      </c>
    </row>
    <row r="1234" customFormat="false" ht="15" hidden="false" customHeight="false" outlineLevel="0" collapsed="false">
      <c r="A1234" s="0" t="s">
        <v>1288</v>
      </c>
      <c r="B1234" s="0" t="s">
        <v>40</v>
      </c>
      <c r="C1234" s="0" t="s">
        <v>41</v>
      </c>
      <c r="D1234" s="0" t="n">
        <v>7</v>
      </c>
      <c r="E1234" s="0" t="n">
        <v>1468802.39</v>
      </c>
    </row>
    <row r="1235" customFormat="false" ht="15" hidden="false" customHeight="false" outlineLevel="0" collapsed="false">
      <c r="A1235" s="0" t="s">
        <v>1289</v>
      </c>
      <c r="B1235" s="0" t="s">
        <v>49</v>
      </c>
      <c r="C1235" s="0" t="s">
        <v>50</v>
      </c>
      <c r="D1235" s="0" t="n">
        <v>44</v>
      </c>
      <c r="E1235" s="0" t="n">
        <v>517932.78</v>
      </c>
    </row>
    <row r="1236" customFormat="false" ht="15" hidden="false" customHeight="false" outlineLevel="0" collapsed="false">
      <c r="A1236" s="0" t="s">
        <v>1290</v>
      </c>
      <c r="B1236" s="0" t="s">
        <v>66</v>
      </c>
      <c r="C1236" s="0" t="s">
        <v>44</v>
      </c>
      <c r="D1236" s="0" t="n">
        <v>42</v>
      </c>
      <c r="E1236" s="0" t="n">
        <v>1378916.69</v>
      </c>
    </row>
    <row r="1237" customFormat="false" ht="15" hidden="false" customHeight="false" outlineLevel="0" collapsed="false">
      <c r="A1237" s="0" t="s">
        <v>1291</v>
      </c>
      <c r="B1237" s="0" t="s">
        <v>49</v>
      </c>
      <c r="C1237" s="0" t="s">
        <v>76</v>
      </c>
      <c r="D1237" s="0" t="n">
        <v>15</v>
      </c>
      <c r="E1237" s="0" t="n">
        <v>1040250.74</v>
      </c>
    </row>
    <row r="1238" customFormat="false" ht="15" hidden="false" customHeight="false" outlineLevel="0" collapsed="false">
      <c r="A1238" s="0" t="s">
        <v>1292</v>
      </c>
      <c r="B1238" s="0" t="s">
        <v>36</v>
      </c>
      <c r="C1238" s="0" t="s">
        <v>76</v>
      </c>
      <c r="D1238" s="0" t="n">
        <v>52</v>
      </c>
      <c r="E1238" s="0" t="n">
        <v>430250.45</v>
      </c>
    </row>
    <row r="1239" customFormat="false" ht="15" hidden="false" customHeight="false" outlineLevel="0" collapsed="false">
      <c r="A1239" s="0" t="s">
        <v>1293</v>
      </c>
      <c r="B1239" s="0" t="s">
        <v>36</v>
      </c>
      <c r="C1239" s="0" t="s">
        <v>50</v>
      </c>
      <c r="D1239" s="0" t="n">
        <v>22</v>
      </c>
      <c r="E1239" s="0" t="n">
        <v>748987.79</v>
      </c>
    </row>
    <row r="1240" customFormat="false" ht="15" hidden="false" customHeight="false" outlineLevel="0" collapsed="false">
      <c r="A1240" s="0" t="s">
        <v>1294</v>
      </c>
      <c r="B1240" s="0" t="s">
        <v>36</v>
      </c>
      <c r="C1240" s="0" t="s">
        <v>41</v>
      </c>
      <c r="D1240" s="0" t="n">
        <v>71</v>
      </c>
      <c r="E1240" s="0" t="n">
        <v>380570.87</v>
      </c>
    </row>
    <row r="1241" customFormat="false" ht="15" hidden="false" customHeight="false" outlineLevel="0" collapsed="false">
      <c r="A1241" s="0" t="s">
        <v>1295</v>
      </c>
      <c r="B1241" s="0" t="s">
        <v>49</v>
      </c>
      <c r="C1241" s="0" t="s">
        <v>41</v>
      </c>
      <c r="D1241" s="0" t="n">
        <v>64</v>
      </c>
      <c r="E1241" s="0" t="n">
        <v>1082654.13</v>
      </c>
    </row>
    <row r="1242" customFormat="false" ht="15" hidden="false" customHeight="false" outlineLevel="0" collapsed="false">
      <c r="A1242" s="0" t="s">
        <v>1296</v>
      </c>
      <c r="B1242" s="0" t="s">
        <v>49</v>
      </c>
      <c r="C1242" s="0" t="s">
        <v>53</v>
      </c>
      <c r="D1242" s="0" t="n">
        <v>25</v>
      </c>
      <c r="E1242" s="0" t="n">
        <v>522625.82</v>
      </c>
    </row>
    <row r="1243" customFormat="false" ht="15" hidden="false" customHeight="false" outlineLevel="0" collapsed="false">
      <c r="A1243" s="0" t="s">
        <v>1297</v>
      </c>
      <c r="B1243" s="0" t="s">
        <v>36</v>
      </c>
      <c r="C1243" s="0" t="s">
        <v>76</v>
      </c>
      <c r="D1243" s="0" t="n">
        <v>11</v>
      </c>
      <c r="E1243" s="0" t="n">
        <v>554991.85</v>
      </c>
    </row>
    <row r="1244" customFormat="false" ht="15" hidden="false" customHeight="false" outlineLevel="0" collapsed="false">
      <c r="A1244" s="0" t="s">
        <v>1298</v>
      </c>
      <c r="B1244" s="0" t="s">
        <v>49</v>
      </c>
      <c r="C1244" s="0" t="s">
        <v>41</v>
      </c>
      <c r="D1244" s="0" t="n">
        <v>29</v>
      </c>
      <c r="E1244" s="0" t="n">
        <v>653398.62</v>
      </c>
    </row>
    <row r="1245" customFormat="false" ht="15" hidden="false" customHeight="false" outlineLevel="0" collapsed="false">
      <c r="A1245" s="0" t="s">
        <v>1299</v>
      </c>
      <c r="B1245" s="0" t="s">
        <v>36</v>
      </c>
      <c r="C1245" s="0" t="s">
        <v>68</v>
      </c>
      <c r="D1245" s="0" t="n">
        <v>33</v>
      </c>
      <c r="E1245" s="0" t="n">
        <v>687609.44</v>
      </c>
    </row>
    <row r="1246" customFormat="false" ht="15" hidden="false" customHeight="false" outlineLevel="0" collapsed="false">
      <c r="A1246" s="0" t="s">
        <v>1300</v>
      </c>
      <c r="B1246" s="0" t="s">
        <v>36</v>
      </c>
      <c r="C1246" s="0" t="s">
        <v>64</v>
      </c>
      <c r="D1246" s="0" t="n">
        <v>86</v>
      </c>
      <c r="E1246" s="0" t="n">
        <v>617006.3</v>
      </c>
    </row>
    <row r="1247" customFormat="false" ht="15" hidden="false" customHeight="false" outlineLevel="0" collapsed="false">
      <c r="A1247" s="0" t="s">
        <v>1301</v>
      </c>
      <c r="B1247" s="0" t="s">
        <v>49</v>
      </c>
      <c r="C1247" s="0" t="s">
        <v>53</v>
      </c>
      <c r="D1247" s="0" t="n">
        <v>88</v>
      </c>
      <c r="E1247" s="0" t="n">
        <v>1053890.83</v>
      </c>
    </row>
    <row r="1248" customFormat="false" ht="15" hidden="false" customHeight="false" outlineLevel="0" collapsed="false">
      <c r="A1248" s="0" t="s">
        <v>1302</v>
      </c>
      <c r="B1248" s="0" t="s">
        <v>49</v>
      </c>
      <c r="C1248" s="0" t="s">
        <v>81</v>
      </c>
      <c r="D1248" s="0" t="n">
        <v>42</v>
      </c>
      <c r="E1248" s="0" t="n">
        <v>513106.53</v>
      </c>
    </row>
    <row r="1249" customFormat="false" ht="15" hidden="false" customHeight="false" outlineLevel="0" collapsed="false">
      <c r="A1249" s="0" t="s">
        <v>1303</v>
      </c>
      <c r="B1249" s="0" t="s">
        <v>49</v>
      </c>
      <c r="C1249" s="0" t="s">
        <v>53</v>
      </c>
      <c r="D1249" s="0" t="n">
        <v>27</v>
      </c>
      <c r="E1249" s="0" t="n">
        <v>843414.58</v>
      </c>
    </row>
    <row r="1250" customFormat="false" ht="15" hidden="false" customHeight="false" outlineLevel="0" collapsed="false">
      <c r="A1250" s="0" t="s">
        <v>1304</v>
      </c>
      <c r="B1250" s="0" t="s">
        <v>36</v>
      </c>
      <c r="C1250" s="0" t="s">
        <v>37</v>
      </c>
      <c r="D1250" s="0" t="n">
        <v>13</v>
      </c>
      <c r="E1250" s="0" t="n">
        <v>764038.55</v>
      </c>
    </row>
    <row r="1251" customFormat="false" ht="15" hidden="false" customHeight="false" outlineLevel="0" collapsed="false">
      <c r="A1251" s="0" t="s">
        <v>1305</v>
      </c>
      <c r="B1251" s="0" t="s">
        <v>49</v>
      </c>
      <c r="C1251" s="0" t="s">
        <v>89</v>
      </c>
      <c r="D1251" s="0" t="n">
        <v>50</v>
      </c>
      <c r="E1251" s="0" t="n">
        <v>683242.99</v>
      </c>
    </row>
    <row r="1252" customFormat="false" ht="15" hidden="false" customHeight="false" outlineLevel="0" collapsed="false">
      <c r="A1252" s="0" t="s">
        <v>1306</v>
      </c>
      <c r="B1252" s="0" t="s">
        <v>40</v>
      </c>
      <c r="C1252" s="0" t="s">
        <v>76</v>
      </c>
      <c r="D1252" s="0" t="n">
        <v>35</v>
      </c>
      <c r="E1252" s="0" t="n">
        <v>1361041.67</v>
      </c>
    </row>
    <row r="1253" customFormat="false" ht="15" hidden="false" customHeight="false" outlineLevel="0" collapsed="false">
      <c r="A1253" s="0" t="s">
        <v>1307</v>
      </c>
      <c r="B1253" s="0" t="s">
        <v>36</v>
      </c>
      <c r="C1253" s="0" t="s">
        <v>68</v>
      </c>
      <c r="D1253" s="0" t="n">
        <v>11</v>
      </c>
      <c r="E1253" s="0" t="n">
        <v>514531.61</v>
      </c>
    </row>
    <row r="1254" customFormat="false" ht="15" hidden="false" customHeight="false" outlineLevel="0" collapsed="false">
      <c r="A1254" s="0" t="s">
        <v>1308</v>
      </c>
      <c r="B1254" s="0" t="s">
        <v>36</v>
      </c>
      <c r="C1254" s="0" t="s">
        <v>44</v>
      </c>
      <c r="D1254" s="0" t="n">
        <v>17</v>
      </c>
      <c r="E1254" s="0" t="n">
        <v>645591.45</v>
      </c>
    </row>
    <row r="1255" customFormat="false" ht="15" hidden="false" customHeight="false" outlineLevel="0" collapsed="false">
      <c r="A1255" s="0" t="s">
        <v>1309</v>
      </c>
      <c r="B1255" s="0" t="s">
        <v>49</v>
      </c>
      <c r="C1255" s="0" t="s">
        <v>68</v>
      </c>
      <c r="D1255" s="0" t="n">
        <v>43</v>
      </c>
      <c r="E1255" s="0" t="n">
        <v>669364.54</v>
      </c>
    </row>
    <row r="1256" customFormat="false" ht="15" hidden="false" customHeight="false" outlineLevel="0" collapsed="false">
      <c r="A1256" s="0" t="s">
        <v>1310</v>
      </c>
      <c r="B1256" s="0" t="s">
        <v>49</v>
      </c>
      <c r="C1256" s="0" t="s">
        <v>89</v>
      </c>
      <c r="D1256" s="0" t="n">
        <v>80</v>
      </c>
      <c r="E1256" s="0" t="n">
        <v>895316.51</v>
      </c>
    </row>
    <row r="1257" customFormat="false" ht="15" hidden="false" customHeight="false" outlineLevel="0" collapsed="false">
      <c r="A1257" s="0" t="s">
        <v>1311</v>
      </c>
      <c r="B1257" s="0" t="s">
        <v>36</v>
      </c>
      <c r="C1257" s="0" t="s">
        <v>53</v>
      </c>
      <c r="D1257" s="0" t="n">
        <v>30</v>
      </c>
      <c r="E1257" s="0" t="n">
        <v>328084.35</v>
      </c>
    </row>
    <row r="1258" customFormat="false" ht="15" hidden="false" customHeight="false" outlineLevel="0" collapsed="false">
      <c r="A1258" s="0" t="s">
        <v>1312</v>
      </c>
      <c r="B1258" s="0" t="s">
        <v>36</v>
      </c>
      <c r="C1258" s="0" t="s">
        <v>64</v>
      </c>
      <c r="D1258" s="0" t="n">
        <v>15</v>
      </c>
      <c r="E1258" s="0" t="n">
        <v>468170.61</v>
      </c>
    </row>
    <row r="1259" customFormat="false" ht="15" hidden="false" customHeight="false" outlineLevel="0" collapsed="false">
      <c r="A1259" s="0" t="s">
        <v>1313</v>
      </c>
      <c r="B1259" s="0" t="s">
        <v>36</v>
      </c>
      <c r="C1259" s="0" t="s">
        <v>44</v>
      </c>
      <c r="D1259" s="0" t="n">
        <v>93</v>
      </c>
      <c r="E1259" s="0" t="n">
        <v>510433.62</v>
      </c>
    </row>
    <row r="1260" customFormat="false" ht="15" hidden="false" customHeight="false" outlineLevel="0" collapsed="false">
      <c r="A1260" s="0" t="s">
        <v>1314</v>
      </c>
      <c r="B1260" s="0" t="s">
        <v>36</v>
      </c>
      <c r="C1260" s="0" t="s">
        <v>64</v>
      </c>
      <c r="D1260" s="0" t="n">
        <v>81</v>
      </c>
      <c r="E1260" s="0" t="n">
        <v>449970.37</v>
      </c>
    </row>
    <row r="1261" customFormat="false" ht="15" hidden="false" customHeight="false" outlineLevel="0" collapsed="false">
      <c r="A1261" s="0" t="s">
        <v>1315</v>
      </c>
      <c r="B1261" s="0" t="s">
        <v>40</v>
      </c>
      <c r="C1261" s="0" t="s">
        <v>76</v>
      </c>
      <c r="D1261" s="0" t="n">
        <v>38</v>
      </c>
      <c r="E1261" s="0" t="n">
        <v>1920761.7</v>
      </c>
    </row>
    <row r="1262" customFormat="false" ht="15" hidden="false" customHeight="false" outlineLevel="0" collapsed="false">
      <c r="A1262" s="0" t="s">
        <v>1316</v>
      </c>
      <c r="B1262" s="0" t="s">
        <v>36</v>
      </c>
      <c r="C1262" s="0" t="s">
        <v>53</v>
      </c>
      <c r="D1262" s="0" t="n">
        <v>54</v>
      </c>
      <c r="E1262" s="0" t="n">
        <v>684112.46</v>
      </c>
    </row>
    <row r="1263" customFormat="false" ht="15" hidden="false" customHeight="false" outlineLevel="0" collapsed="false">
      <c r="A1263" s="0" t="s">
        <v>1317</v>
      </c>
      <c r="B1263" s="0" t="s">
        <v>36</v>
      </c>
      <c r="C1263" s="0" t="s">
        <v>89</v>
      </c>
      <c r="D1263" s="0" t="n">
        <v>40</v>
      </c>
      <c r="E1263" s="0" t="n">
        <v>581879.54</v>
      </c>
    </row>
    <row r="1264" customFormat="false" ht="15" hidden="false" customHeight="false" outlineLevel="0" collapsed="false">
      <c r="A1264" s="0" t="s">
        <v>1318</v>
      </c>
      <c r="B1264" s="0" t="s">
        <v>49</v>
      </c>
      <c r="C1264" s="0" t="s">
        <v>50</v>
      </c>
      <c r="D1264" s="0" t="n">
        <v>48</v>
      </c>
      <c r="E1264" s="0" t="n">
        <v>468781.78</v>
      </c>
    </row>
    <row r="1265" customFormat="false" ht="15" hidden="false" customHeight="false" outlineLevel="0" collapsed="false">
      <c r="A1265" s="0" t="s">
        <v>1319</v>
      </c>
      <c r="B1265" s="0" t="s">
        <v>49</v>
      </c>
      <c r="C1265" s="0" t="s">
        <v>81</v>
      </c>
      <c r="D1265" s="0" t="n">
        <v>23</v>
      </c>
      <c r="E1265" s="0" t="n">
        <v>505310.8</v>
      </c>
    </row>
    <row r="1266" customFormat="false" ht="15" hidden="false" customHeight="false" outlineLevel="0" collapsed="false">
      <c r="A1266" s="0" t="s">
        <v>1320</v>
      </c>
      <c r="B1266" s="0" t="s">
        <v>40</v>
      </c>
      <c r="C1266" s="0" t="s">
        <v>53</v>
      </c>
      <c r="D1266" s="0" t="n">
        <v>15</v>
      </c>
      <c r="E1266" s="0" t="n">
        <v>1656616.79</v>
      </c>
    </row>
    <row r="1267" customFormat="false" ht="15" hidden="false" customHeight="false" outlineLevel="0" collapsed="false">
      <c r="A1267" s="0" t="s">
        <v>1321</v>
      </c>
      <c r="B1267" s="0" t="s">
        <v>36</v>
      </c>
      <c r="C1267" s="0" t="s">
        <v>81</v>
      </c>
      <c r="D1267" s="0" t="n">
        <v>7</v>
      </c>
      <c r="E1267" s="0" t="n">
        <v>718715.07</v>
      </c>
    </row>
    <row r="1268" customFormat="false" ht="15" hidden="false" customHeight="false" outlineLevel="0" collapsed="false">
      <c r="A1268" s="0" t="s">
        <v>1322</v>
      </c>
      <c r="B1268" s="0" t="s">
        <v>36</v>
      </c>
      <c r="C1268" s="0" t="s">
        <v>68</v>
      </c>
      <c r="D1268" s="0" t="n">
        <v>13</v>
      </c>
      <c r="E1268" s="0" t="n">
        <v>511771.11</v>
      </c>
    </row>
    <row r="1269" customFormat="false" ht="15" hidden="false" customHeight="false" outlineLevel="0" collapsed="false">
      <c r="A1269" s="0" t="s">
        <v>1323</v>
      </c>
      <c r="B1269" s="0" t="s">
        <v>49</v>
      </c>
      <c r="C1269" s="0" t="s">
        <v>68</v>
      </c>
      <c r="D1269" s="0" t="n">
        <v>83</v>
      </c>
      <c r="E1269" s="0" t="n">
        <v>1011612.47</v>
      </c>
    </row>
    <row r="1270" customFormat="false" ht="15" hidden="false" customHeight="false" outlineLevel="0" collapsed="false">
      <c r="A1270" s="0" t="s">
        <v>1324</v>
      </c>
      <c r="B1270" s="0" t="s">
        <v>36</v>
      </c>
      <c r="C1270" s="0" t="s">
        <v>89</v>
      </c>
      <c r="D1270" s="0" t="n">
        <v>58</v>
      </c>
      <c r="E1270" s="0" t="n">
        <v>521490.48</v>
      </c>
    </row>
    <row r="1271" customFormat="false" ht="15" hidden="false" customHeight="false" outlineLevel="0" collapsed="false">
      <c r="A1271" s="0" t="s">
        <v>1325</v>
      </c>
      <c r="B1271" s="0" t="s">
        <v>36</v>
      </c>
      <c r="C1271" s="0" t="s">
        <v>53</v>
      </c>
      <c r="D1271" s="0" t="n">
        <v>47</v>
      </c>
      <c r="E1271" s="0" t="n">
        <v>431067.92</v>
      </c>
    </row>
    <row r="1272" customFormat="false" ht="15" hidden="false" customHeight="false" outlineLevel="0" collapsed="false">
      <c r="A1272" s="0" t="s">
        <v>1326</v>
      </c>
      <c r="B1272" s="0" t="s">
        <v>49</v>
      </c>
      <c r="C1272" s="0" t="s">
        <v>76</v>
      </c>
      <c r="D1272" s="0" t="n">
        <v>38</v>
      </c>
      <c r="E1272" s="0" t="n">
        <v>931355.81</v>
      </c>
    </row>
    <row r="1273" customFormat="false" ht="15" hidden="false" customHeight="false" outlineLevel="0" collapsed="false">
      <c r="A1273" s="0" t="s">
        <v>1327</v>
      </c>
      <c r="B1273" s="0" t="s">
        <v>49</v>
      </c>
      <c r="C1273" s="0" t="s">
        <v>68</v>
      </c>
      <c r="D1273" s="0" t="n">
        <v>8</v>
      </c>
      <c r="E1273" s="0" t="n">
        <v>767188.72</v>
      </c>
    </row>
    <row r="1274" customFormat="false" ht="15" hidden="false" customHeight="false" outlineLevel="0" collapsed="false">
      <c r="A1274" s="0" t="s">
        <v>1328</v>
      </c>
      <c r="B1274" s="0" t="s">
        <v>49</v>
      </c>
      <c r="C1274" s="0" t="s">
        <v>41</v>
      </c>
      <c r="D1274" s="0" t="n">
        <v>16</v>
      </c>
      <c r="E1274" s="0" t="n">
        <v>509047.9</v>
      </c>
    </row>
    <row r="1275" customFormat="false" ht="15" hidden="false" customHeight="false" outlineLevel="0" collapsed="false">
      <c r="A1275" s="0" t="s">
        <v>1329</v>
      </c>
      <c r="B1275" s="0" t="s">
        <v>40</v>
      </c>
      <c r="C1275" s="0" t="s">
        <v>44</v>
      </c>
      <c r="D1275" s="0" t="n">
        <v>5</v>
      </c>
      <c r="E1275" s="0" t="n">
        <v>1912141.43</v>
      </c>
    </row>
    <row r="1276" customFormat="false" ht="15" hidden="false" customHeight="false" outlineLevel="0" collapsed="false">
      <c r="A1276" s="0" t="s">
        <v>1330</v>
      </c>
      <c r="B1276" s="0" t="s">
        <v>36</v>
      </c>
      <c r="C1276" s="0" t="s">
        <v>64</v>
      </c>
      <c r="D1276" s="0" t="n">
        <v>94</v>
      </c>
      <c r="E1276" s="0" t="n">
        <v>686488.79</v>
      </c>
    </row>
    <row r="1277" customFormat="false" ht="15" hidden="false" customHeight="false" outlineLevel="0" collapsed="false">
      <c r="A1277" s="0" t="s">
        <v>1331</v>
      </c>
      <c r="B1277" s="0" t="s">
        <v>36</v>
      </c>
      <c r="C1277" s="0" t="s">
        <v>76</v>
      </c>
      <c r="D1277" s="0" t="n">
        <v>68</v>
      </c>
      <c r="E1277" s="0" t="n">
        <v>466202.4</v>
      </c>
    </row>
    <row r="1278" customFormat="false" ht="15" hidden="false" customHeight="false" outlineLevel="0" collapsed="false">
      <c r="A1278" s="0" t="s">
        <v>1332</v>
      </c>
      <c r="B1278" s="0" t="s">
        <v>36</v>
      </c>
      <c r="C1278" s="0" t="s">
        <v>68</v>
      </c>
      <c r="D1278" s="0" t="n">
        <v>43</v>
      </c>
      <c r="E1278" s="0" t="n">
        <v>361585.07</v>
      </c>
    </row>
    <row r="1279" customFormat="false" ht="15" hidden="false" customHeight="false" outlineLevel="0" collapsed="false">
      <c r="A1279" s="0" t="s">
        <v>1333</v>
      </c>
      <c r="B1279" s="0" t="s">
        <v>40</v>
      </c>
      <c r="C1279" s="0" t="s">
        <v>64</v>
      </c>
      <c r="D1279" s="0" t="n">
        <v>24</v>
      </c>
      <c r="E1279" s="0" t="n">
        <v>1147592.17</v>
      </c>
    </row>
    <row r="1280" customFormat="false" ht="15" hidden="false" customHeight="false" outlineLevel="0" collapsed="false">
      <c r="A1280" s="0" t="s">
        <v>1334</v>
      </c>
      <c r="B1280" s="0" t="s">
        <v>36</v>
      </c>
      <c r="C1280" s="0" t="s">
        <v>53</v>
      </c>
      <c r="D1280" s="0" t="n">
        <v>22</v>
      </c>
      <c r="E1280" s="0" t="n">
        <v>670016.98</v>
      </c>
    </row>
    <row r="1281" customFormat="false" ht="15" hidden="false" customHeight="false" outlineLevel="0" collapsed="false">
      <c r="A1281" s="0" t="s">
        <v>1335</v>
      </c>
      <c r="B1281" s="0" t="s">
        <v>40</v>
      </c>
      <c r="C1281" s="0" t="s">
        <v>53</v>
      </c>
      <c r="D1281" s="0" t="n">
        <v>88</v>
      </c>
      <c r="E1281" s="0" t="n">
        <v>946031.47</v>
      </c>
    </row>
    <row r="1282" customFormat="false" ht="15" hidden="false" customHeight="false" outlineLevel="0" collapsed="false">
      <c r="A1282" s="0" t="s">
        <v>1336</v>
      </c>
      <c r="B1282" s="0" t="s">
        <v>36</v>
      </c>
      <c r="C1282" s="0" t="s">
        <v>50</v>
      </c>
      <c r="D1282" s="0" t="n">
        <v>67</v>
      </c>
      <c r="E1282" s="0" t="n">
        <v>493093.75</v>
      </c>
    </row>
    <row r="1283" customFormat="false" ht="15" hidden="false" customHeight="false" outlineLevel="0" collapsed="false">
      <c r="A1283" s="0" t="s">
        <v>1337</v>
      </c>
      <c r="B1283" s="0" t="s">
        <v>40</v>
      </c>
      <c r="C1283" s="0" t="s">
        <v>64</v>
      </c>
      <c r="D1283" s="0" t="n">
        <v>74</v>
      </c>
      <c r="E1283" s="0" t="n">
        <v>1781361.48</v>
      </c>
    </row>
    <row r="1284" customFormat="false" ht="15" hidden="false" customHeight="false" outlineLevel="0" collapsed="false">
      <c r="A1284" s="0" t="s">
        <v>1338</v>
      </c>
      <c r="B1284" s="0" t="s">
        <v>49</v>
      </c>
      <c r="C1284" s="0" t="s">
        <v>64</v>
      </c>
      <c r="D1284" s="0" t="n">
        <v>49</v>
      </c>
      <c r="E1284" s="0" t="n">
        <v>767476.51</v>
      </c>
    </row>
    <row r="1285" customFormat="false" ht="15" hidden="false" customHeight="false" outlineLevel="0" collapsed="false">
      <c r="A1285" s="0" t="s">
        <v>1339</v>
      </c>
      <c r="B1285" s="0" t="s">
        <v>40</v>
      </c>
      <c r="C1285" s="0" t="s">
        <v>64</v>
      </c>
      <c r="D1285" s="0" t="n">
        <v>24</v>
      </c>
      <c r="E1285" s="0" t="n">
        <v>1994094.63</v>
      </c>
    </row>
    <row r="1286" customFormat="false" ht="15" hidden="false" customHeight="false" outlineLevel="0" collapsed="false">
      <c r="A1286" s="0" t="s">
        <v>1340</v>
      </c>
      <c r="B1286" s="0" t="s">
        <v>40</v>
      </c>
      <c r="C1286" s="0" t="s">
        <v>64</v>
      </c>
      <c r="D1286" s="0" t="n">
        <v>25</v>
      </c>
      <c r="E1286" s="0" t="n">
        <v>1659572.82</v>
      </c>
    </row>
    <row r="1287" customFormat="false" ht="15" hidden="false" customHeight="false" outlineLevel="0" collapsed="false">
      <c r="A1287" s="0" t="s">
        <v>1341</v>
      </c>
      <c r="B1287" s="0" t="s">
        <v>40</v>
      </c>
      <c r="C1287" s="0" t="s">
        <v>53</v>
      </c>
      <c r="D1287" s="0" t="n">
        <v>93</v>
      </c>
      <c r="E1287" s="0" t="n">
        <v>793536.01</v>
      </c>
    </row>
    <row r="1288" customFormat="false" ht="15" hidden="false" customHeight="false" outlineLevel="0" collapsed="false">
      <c r="A1288" s="0" t="s">
        <v>1342</v>
      </c>
      <c r="B1288" s="0" t="s">
        <v>36</v>
      </c>
      <c r="C1288" s="0" t="s">
        <v>53</v>
      </c>
      <c r="D1288" s="0" t="n">
        <v>44</v>
      </c>
      <c r="E1288" s="0" t="n">
        <v>846556.31</v>
      </c>
    </row>
    <row r="1289" customFormat="false" ht="15" hidden="false" customHeight="false" outlineLevel="0" collapsed="false">
      <c r="A1289" s="0" t="s">
        <v>1343</v>
      </c>
      <c r="B1289" s="0" t="s">
        <v>49</v>
      </c>
      <c r="C1289" s="0" t="s">
        <v>53</v>
      </c>
      <c r="D1289" s="0" t="n">
        <v>39</v>
      </c>
      <c r="E1289" s="0" t="n">
        <v>486105.93</v>
      </c>
    </row>
    <row r="1290" customFormat="false" ht="15" hidden="false" customHeight="false" outlineLevel="0" collapsed="false">
      <c r="A1290" s="0" t="s">
        <v>1344</v>
      </c>
      <c r="B1290" s="0" t="s">
        <v>36</v>
      </c>
      <c r="C1290" s="0" t="s">
        <v>64</v>
      </c>
      <c r="D1290" s="0" t="n">
        <v>61</v>
      </c>
      <c r="E1290" s="0" t="n">
        <v>315091.66</v>
      </c>
    </row>
    <row r="1291" customFormat="false" ht="15" hidden="false" customHeight="false" outlineLevel="0" collapsed="false">
      <c r="A1291" s="0" t="s">
        <v>1345</v>
      </c>
      <c r="B1291" s="0" t="s">
        <v>40</v>
      </c>
      <c r="C1291" s="0" t="s">
        <v>53</v>
      </c>
      <c r="D1291" s="0" t="n">
        <v>34</v>
      </c>
      <c r="E1291" s="0" t="n">
        <v>2012521.57</v>
      </c>
    </row>
    <row r="1292" customFormat="false" ht="15" hidden="false" customHeight="false" outlineLevel="0" collapsed="false">
      <c r="A1292" s="0" t="s">
        <v>1346</v>
      </c>
      <c r="B1292" s="0" t="s">
        <v>49</v>
      </c>
      <c r="C1292" s="0" t="s">
        <v>64</v>
      </c>
      <c r="D1292" s="0" t="n">
        <v>71</v>
      </c>
      <c r="E1292" s="0" t="n">
        <v>1088687.59</v>
      </c>
    </row>
    <row r="1293" customFormat="false" ht="15" hidden="false" customHeight="false" outlineLevel="0" collapsed="false">
      <c r="A1293" s="0" t="s">
        <v>1347</v>
      </c>
      <c r="B1293" s="0" t="s">
        <v>40</v>
      </c>
      <c r="C1293" s="0" t="s">
        <v>44</v>
      </c>
      <c r="D1293" s="0" t="n">
        <v>48</v>
      </c>
      <c r="E1293" s="0" t="n">
        <v>1459447.19</v>
      </c>
    </row>
    <row r="1294" customFormat="false" ht="15" hidden="false" customHeight="false" outlineLevel="0" collapsed="false">
      <c r="A1294" s="0" t="s">
        <v>1348</v>
      </c>
      <c r="B1294" s="0" t="s">
        <v>36</v>
      </c>
      <c r="C1294" s="0" t="s">
        <v>44</v>
      </c>
      <c r="D1294" s="0" t="n">
        <v>66</v>
      </c>
      <c r="E1294" s="0" t="n">
        <v>830453</v>
      </c>
    </row>
    <row r="1295" customFormat="false" ht="15" hidden="false" customHeight="false" outlineLevel="0" collapsed="false">
      <c r="A1295" s="0" t="s">
        <v>1349</v>
      </c>
      <c r="B1295" s="0" t="s">
        <v>66</v>
      </c>
      <c r="C1295" s="0" t="s">
        <v>68</v>
      </c>
      <c r="D1295" s="0" t="n">
        <v>93</v>
      </c>
      <c r="E1295" s="0" t="n">
        <v>2776681.84</v>
      </c>
    </row>
    <row r="1296" customFormat="false" ht="15" hidden="false" customHeight="false" outlineLevel="0" collapsed="false">
      <c r="A1296" s="0" t="s">
        <v>1350</v>
      </c>
      <c r="B1296" s="0" t="s">
        <v>40</v>
      </c>
      <c r="C1296" s="0" t="s">
        <v>53</v>
      </c>
      <c r="D1296" s="0" t="n">
        <v>43</v>
      </c>
      <c r="E1296" s="0" t="n">
        <v>1660837.52</v>
      </c>
    </row>
    <row r="1297" customFormat="false" ht="15" hidden="false" customHeight="false" outlineLevel="0" collapsed="false">
      <c r="A1297" s="0" t="s">
        <v>1351</v>
      </c>
      <c r="B1297" s="0" t="s">
        <v>40</v>
      </c>
      <c r="C1297" s="0" t="s">
        <v>37</v>
      </c>
      <c r="D1297" s="0" t="n">
        <v>49</v>
      </c>
      <c r="E1297" s="0" t="n">
        <v>1288628.74</v>
      </c>
    </row>
    <row r="1298" customFormat="false" ht="15" hidden="false" customHeight="false" outlineLevel="0" collapsed="false">
      <c r="A1298" s="0" t="s">
        <v>1352</v>
      </c>
      <c r="B1298" s="0" t="s">
        <v>40</v>
      </c>
      <c r="C1298" s="0" t="s">
        <v>81</v>
      </c>
      <c r="D1298" s="0" t="n">
        <v>93</v>
      </c>
      <c r="E1298" s="0" t="n">
        <v>1152071.36</v>
      </c>
    </row>
    <row r="1299" customFormat="false" ht="15" hidden="false" customHeight="false" outlineLevel="0" collapsed="false">
      <c r="A1299" s="0" t="s">
        <v>1353</v>
      </c>
      <c r="B1299" s="0" t="s">
        <v>36</v>
      </c>
      <c r="C1299" s="0" t="s">
        <v>44</v>
      </c>
      <c r="D1299" s="0" t="n">
        <v>52</v>
      </c>
      <c r="E1299" s="0" t="n">
        <v>527025.49</v>
      </c>
    </row>
    <row r="1300" customFormat="false" ht="15" hidden="false" customHeight="false" outlineLevel="0" collapsed="false">
      <c r="A1300" s="0" t="s">
        <v>1354</v>
      </c>
      <c r="B1300" s="0" t="s">
        <v>49</v>
      </c>
      <c r="C1300" s="0" t="s">
        <v>53</v>
      </c>
      <c r="D1300" s="0" t="n">
        <v>29</v>
      </c>
      <c r="E1300" s="0" t="n">
        <v>932411.32</v>
      </c>
    </row>
    <row r="1301" customFormat="false" ht="15" hidden="false" customHeight="false" outlineLevel="0" collapsed="false">
      <c r="A1301" s="0" t="s">
        <v>1355</v>
      </c>
      <c r="B1301" s="0" t="s">
        <v>36</v>
      </c>
      <c r="C1301" s="0" t="s">
        <v>76</v>
      </c>
      <c r="D1301" s="0" t="n">
        <v>59</v>
      </c>
      <c r="E1301" s="0" t="n">
        <v>815040.34</v>
      </c>
    </row>
    <row r="1302" customFormat="false" ht="15" hidden="false" customHeight="false" outlineLevel="0" collapsed="false">
      <c r="A1302" s="0" t="s">
        <v>1356</v>
      </c>
      <c r="B1302" s="0" t="s">
        <v>36</v>
      </c>
      <c r="C1302" s="0" t="s">
        <v>68</v>
      </c>
      <c r="D1302" s="0" t="n">
        <v>39</v>
      </c>
      <c r="E1302" s="0" t="n">
        <v>700194.54</v>
      </c>
    </row>
    <row r="1303" customFormat="false" ht="15" hidden="false" customHeight="false" outlineLevel="0" collapsed="false">
      <c r="A1303" s="0" t="s">
        <v>1357</v>
      </c>
      <c r="B1303" s="0" t="s">
        <v>49</v>
      </c>
      <c r="C1303" s="0" t="s">
        <v>44</v>
      </c>
      <c r="D1303" s="0" t="n">
        <v>37</v>
      </c>
      <c r="E1303" s="0" t="n">
        <v>975345.68</v>
      </c>
    </row>
    <row r="1304" customFormat="false" ht="15" hidden="false" customHeight="false" outlineLevel="0" collapsed="false">
      <c r="A1304" s="0" t="s">
        <v>1358</v>
      </c>
      <c r="B1304" s="0" t="s">
        <v>36</v>
      </c>
      <c r="C1304" s="0" t="s">
        <v>44</v>
      </c>
      <c r="D1304" s="0" t="n">
        <v>32</v>
      </c>
      <c r="E1304" s="0" t="n">
        <v>452595.78</v>
      </c>
    </row>
    <row r="1305" customFormat="false" ht="15" hidden="false" customHeight="false" outlineLevel="0" collapsed="false">
      <c r="A1305" s="0" t="s">
        <v>1359</v>
      </c>
      <c r="B1305" s="0" t="s">
        <v>49</v>
      </c>
      <c r="C1305" s="0" t="s">
        <v>89</v>
      </c>
      <c r="D1305" s="0" t="n">
        <v>38</v>
      </c>
      <c r="E1305" s="0" t="n">
        <v>897650.58</v>
      </c>
    </row>
    <row r="1306" customFormat="false" ht="15" hidden="false" customHeight="false" outlineLevel="0" collapsed="false">
      <c r="A1306" s="0" t="s">
        <v>1360</v>
      </c>
      <c r="B1306" s="0" t="s">
        <v>40</v>
      </c>
      <c r="C1306" s="0" t="s">
        <v>37</v>
      </c>
      <c r="D1306" s="0" t="n">
        <v>42</v>
      </c>
      <c r="E1306" s="0" t="n">
        <v>1370216.51</v>
      </c>
    </row>
    <row r="1307" customFormat="false" ht="15" hidden="false" customHeight="false" outlineLevel="0" collapsed="false">
      <c r="A1307" s="0" t="s">
        <v>1361</v>
      </c>
      <c r="B1307" s="0" t="s">
        <v>36</v>
      </c>
      <c r="C1307" s="0" t="s">
        <v>64</v>
      </c>
      <c r="D1307" s="0" t="n">
        <v>21</v>
      </c>
      <c r="E1307" s="0" t="n">
        <v>601550.9</v>
      </c>
    </row>
    <row r="1308" customFormat="false" ht="15" hidden="false" customHeight="false" outlineLevel="0" collapsed="false">
      <c r="A1308" s="0" t="s">
        <v>1362</v>
      </c>
      <c r="B1308" s="0" t="s">
        <v>40</v>
      </c>
      <c r="C1308" s="0" t="s">
        <v>64</v>
      </c>
      <c r="D1308" s="0" t="n">
        <v>62</v>
      </c>
      <c r="E1308" s="0" t="n">
        <v>1303995.14</v>
      </c>
    </row>
    <row r="1309" customFormat="false" ht="15" hidden="false" customHeight="false" outlineLevel="0" collapsed="false">
      <c r="A1309" s="0" t="s">
        <v>1363</v>
      </c>
      <c r="B1309" s="0" t="s">
        <v>36</v>
      </c>
      <c r="C1309" s="0" t="s">
        <v>68</v>
      </c>
      <c r="D1309" s="0" t="n">
        <v>90</v>
      </c>
      <c r="E1309" s="0" t="n">
        <v>672442.92</v>
      </c>
    </row>
    <row r="1310" customFormat="false" ht="15" hidden="false" customHeight="false" outlineLevel="0" collapsed="false">
      <c r="A1310" s="0" t="s">
        <v>1364</v>
      </c>
      <c r="B1310" s="0" t="s">
        <v>36</v>
      </c>
      <c r="C1310" s="0" t="s">
        <v>89</v>
      </c>
      <c r="D1310" s="0" t="n">
        <v>34</v>
      </c>
      <c r="E1310" s="0" t="n">
        <v>773074.66</v>
      </c>
    </row>
    <row r="1311" customFormat="false" ht="15" hidden="false" customHeight="false" outlineLevel="0" collapsed="false">
      <c r="A1311" s="0" t="s">
        <v>1365</v>
      </c>
      <c r="B1311" s="0" t="s">
        <v>36</v>
      </c>
      <c r="C1311" s="0" t="s">
        <v>44</v>
      </c>
      <c r="D1311" s="0" t="n">
        <v>9</v>
      </c>
      <c r="E1311" s="0" t="n">
        <v>742638.5</v>
      </c>
    </row>
    <row r="1312" customFormat="false" ht="15" hidden="false" customHeight="false" outlineLevel="0" collapsed="false">
      <c r="A1312" s="0" t="s">
        <v>1366</v>
      </c>
      <c r="B1312" s="0" t="s">
        <v>36</v>
      </c>
      <c r="C1312" s="0" t="s">
        <v>76</v>
      </c>
      <c r="D1312" s="0" t="n">
        <v>64</v>
      </c>
      <c r="E1312" s="0" t="n">
        <v>759721.3</v>
      </c>
    </row>
    <row r="1313" customFormat="false" ht="15" hidden="false" customHeight="false" outlineLevel="0" collapsed="false">
      <c r="A1313" s="0" t="s">
        <v>1367</v>
      </c>
      <c r="B1313" s="0" t="s">
        <v>36</v>
      </c>
      <c r="C1313" s="0" t="s">
        <v>53</v>
      </c>
      <c r="D1313" s="0" t="n">
        <v>73</v>
      </c>
      <c r="E1313" s="0" t="n">
        <v>474500.53</v>
      </c>
    </row>
    <row r="1314" customFormat="false" ht="15" hidden="false" customHeight="false" outlineLevel="0" collapsed="false">
      <c r="A1314" s="0" t="s">
        <v>1368</v>
      </c>
      <c r="B1314" s="0" t="s">
        <v>49</v>
      </c>
      <c r="C1314" s="0" t="s">
        <v>64</v>
      </c>
      <c r="D1314" s="0" t="n">
        <v>55</v>
      </c>
      <c r="E1314" s="0" t="n">
        <v>658321.88</v>
      </c>
    </row>
    <row r="1315" customFormat="false" ht="15" hidden="false" customHeight="false" outlineLevel="0" collapsed="false">
      <c r="A1315" s="0" t="s">
        <v>1369</v>
      </c>
      <c r="B1315" s="0" t="s">
        <v>36</v>
      </c>
      <c r="C1315" s="0" t="s">
        <v>68</v>
      </c>
      <c r="D1315" s="0" t="n">
        <v>54</v>
      </c>
      <c r="E1315" s="0" t="n">
        <v>668693.86</v>
      </c>
    </row>
    <row r="1316" customFormat="false" ht="15" hidden="false" customHeight="false" outlineLevel="0" collapsed="false">
      <c r="A1316" s="0" t="s">
        <v>1370</v>
      </c>
      <c r="B1316" s="0" t="s">
        <v>36</v>
      </c>
      <c r="C1316" s="0" t="s">
        <v>41</v>
      </c>
      <c r="D1316" s="0" t="n">
        <v>21</v>
      </c>
      <c r="E1316" s="0" t="n">
        <v>723259.05</v>
      </c>
    </row>
    <row r="1317" customFormat="false" ht="15" hidden="false" customHeight="false" outlineLevel="0" collapsed="false">
      <c r="A1317" s="0" t="s">
        <v>1371</v>
      </c>
      <c r="B1317" s="0" t="s">
        <v>40</v>
      </c>
      <c r="C1317" s="0" t="s">
        <v>41</v>
      </c>
      <c r="D1317" s="0" t="n">
        <v>76</v>
      </c>
      <c r="E1317" s="0" t="n">
        <v>1658004.64</v>
      </c>
    </row>
    <row r="1318" customFormat="false" ht="15" hidden="false" customHeight="false" outlineLevel="0" collapsed="false">
      <c r="A1318" s="0" t="s">
        <v>1372</v>
      </c>
      <c r="B1318" s="0" t="s">
        <v>36</v>
      </c>
      <c r="C1318" s="0" t="s">
        <v>68</v>
      </c>
      <c r="D1318" s="0" t="n">
        <v>5</v>
      </c>
      <c r="E1318" s="0" t="n">
        <v>324402.6</v>
      </c>
    </row>
    <row r="1319" customFormat="false" ht="15" hidden="false" customHeight="false" outlineLevel="0" collapsed="false">
      <c r="A1319" s="0" t="s">
        <v>1373</v>
      </c>
      <c r="B1319" s="0" t="s">
        <v>36</v>
      </c>
      <c r="C1319" s="0" t="s">
        <v>41</v>
      </c>
      <c r="D1319" s="0" t="n">
        <v>77</v>
      </c>
      <c r="E1319" s="0" t="n">
        <v>638020.96</v>
      </c>
    </row>
    <row r="1320" customFormat="false" ht="15" hidden="false" customHeight="false" outlineLevel="0" collapsed="false">
      <c r="A1320" s="0" t="s">
        <v>1374</v>
      </c>
      <c r="B1320" s="0" t="s">
        <v>66</v>
      </c>
      <c r="C1320" s="0" t="s">
        <v>53</v>
      </c>
      <c r="D1320" s="0" t="n">
        <v>41</v>
      </c>
      <c r="E1320" s="0" t="n">
        <v>3844222.62</v>
      </c>
    </row>
    <row r="1321" customFormat="false" ht="15" hidden="false" customHeight="false" outlineLevel="0" collapsed="false">
      <c r="A1321" s="0" t="s">
        <v>1375</v>
      </c>
      <c r="B1321" s="0" t="s">
        <v>36</v>
      </c>
      <c r="C1321" s="0" t="s">
        <v>37</v>
      </c>
      <c r="D1321" s="0" t="n">
        <v>5</v>
      </c>
      <c r="E1321" s="0" t="n">
        <v>398324.81</v>
      </c>
    </row>
    <row r="1322" customFormat="false" ht="15" hidden="false" customHeight="false" outlineLevel="0" collapsed="false">
      <c r="A1322" s="0" t="s">
        <v>1376</v>
      </c>
      <c r="B1322" s="0" t="s">
        <v>36</v>
      </c>
      <c r="C1322" s="0" t="s">
        <v>41</v>
      </c>
      <c r="D1322" s="0" t="n">
        <v>59</v>
      </c>
      <c r="E1322" s="0" t="n">
        <v>520878.11</v>
      </c>
    </row>
    <row r="1323" customFormat="false" ht="15" hidden="false" customHeight="false" outlineLevel="0" collapsed="false">
      <c r="A1323" s="0" t="s">
        <v>1377</v>
      </c>
      <c r="B1323" s="0" t="s">
        <v>36</v>
      </c>
      <c r="C1323" s="0" t="s">
        <v>53</v>
      </c>
      <c r="D1323" s="0" t="n">
        <v>72</v>
      </c>
      <c r="E1323" s="0" t="n">
        <v>325791.77</v>
      </c>
    </row>
    <row r="1324" customFormat="false" ht="15" hidden="false" customHeight="false" outlineLevel="0" collapsed="false">
      <c r="A1324" s="0" t="s">
        <v>1378</v>
      </c>
      <c r="B1324" s="0" t="s">
        <v>36</v>
      </c>
      <c r="C1324" s="0" t="s">
        <v>64</v>
      </c>
      <c r="D1324" s="0" t="n">
        <v>34</v>
      </c>
      <c r="E1324" s="0" t="n">
        <v>517670.93</v>
      </c>
    </row>
    <row r="1325" customFormat="false" ht="15" hidden="false" customHeight="false" outlineLevel="0" collapsed="false">
      <c r="A1325" s="0" t="s">
        <v>1379</v>
      </c>
      <c r="B1325" s="0" t="s">
        <v>40</v>
      </c>
      <c r="C1325" s="0" t="s">
        <v>44</v>
      </c>
      <c r="D1325" s="0" t="n">
        <v>4</v>
      </c>
      <c r="E1325" s="0" t="n">
        <v>987853.49</v>
      </c>
    </row>
    <row r="1326" customFormat="false" ht="15" hidden="false" customHeight="false" outlineLevel="0" collapsed="false">
      <c r="A1326" s="0" t="s">
        <v>1380</v>
      </c>
      <c r="B1326" s="0" t="s">
        <v>49</v>
      </c>
      <c r="C1326" s="0" t="s">
        <v>37</v>
      </c>
      <c r="D1326" s="0" t="n">
        <v>9</v>
      </c>
      <c r="E1326" s="0" t="n">
        <v>696536.18</v>
      </c>
    </row>
    <row r="1327" customFormat="false" ht="15" hidden="false" customHeight="false" outlineLevel="0" collapsed="false">
      <c r="A1327" s="0" t="s">
        <v>1381</v>
      </c>
      <c r="B1327" s="0" t="s">
        <v>40</v>
      </c>
      <c r="C1327" s="0" t="s">
        <v>89</v>
      </c>
      <c r="D1327" s="0" t="n">
        <v>80</v>
      </c>
      <c r="E1327" s="0" t="n">
        <v>1354370.82</v>
      </c>
    </row>
    <row r="1328" customFormat="false" ht="15" hidden="false" customHeight="false" outlineLevel="0" collapsed="false">
      <c r="A1328" s="0" t="s">
        <v>1382</v>
      </c>
      <c r="B1328" s="0" t="s">
        <v>36</v>
      </c>
      <c r="C1328" s="0" t="s">
        <v>68</v>
      </c>
      <c r="D1328" s="0" t="n">
        <v>6</v>
      </c>
      <c r="E1328" s="0" t="n">
        <v>474529.03</v>
      </c>
    </row>
    <row r="1329" customFormat="false" ht="15" hidden="false" customHeight="false" outlineLevel="0" collapsed="false">
      <c r="A1329" s="0" t="s">
        <v>1383</v>
      </c>
      <c r="B1329" s="0" t="s">
        <v>36</v>
      </c>
      <c r="C1329" s="0" t="s">
        <v>44</v>
      </c>
      <c r="D1329" s="0" t="n">
        <v>28</v>
      </c>
      <c r="E1329" s="0" t="n">
        <v>725207.41</v>
      </c>
    </row>
    <row r="1330" customFormat="false" ht="15" hidden="false" customHeight="false" outlineLevel="0" collapsed="false">
      <c r="A1330" s="0" t="s">
        <v>1384</v>
      </c>
      <c r="B1330" s="0" t="s">
        <v>49</v>
      </c>
      <c r="C1330" s="0" t="s">
        <v>64</v>
      </c>
      <c r="D1330" s="0" t="n">
        <v>83</v>
      </c>
      <c r="E1330" s="0" t="n">
        <v>1016553.36</v>
      </c>
    </row>
    <row r="1331" customFormat="false" ht="15" hidden="false" customHeight="false" outlineLevel="0" collapsed="false">
      <c r="A1331" s="0" t="s">
        <v>1385</v>
      </c>
      <c r="B1331" s="0" t="s">
        <v>40</v>
      </c>
      <c r="C1331" s="0" t="s">
        <v>81</v>
      </c>
      <c r="D1331" s="0" t="n">
        <v>44</v>
      </c>
      <c r="E1331" s="0" t="n">
        <v>1422785.68</v>
      </c>
    </row>
    <row r="1332" customFormat="false" ht="15" hidden="false" customHeight="false" outlineLevel="0" collapsed="false">
      <c r="A1332" s="0" t="s">
        <v>1386</v>
      </c>
      <c r="B1332" s="0" t="s">
        <v>40</v>
      </c>
      <c r="C1332" s="0" t="s">
        <v>53</v>
      </c>
      <c r="D1332" s="0" t="n">
        <v>83</v>
      </c>
      <c r="E1332" s="0" t="n">
        <v>1642004.86</v>
      </c>
    </row>
    <row r="1333" customFormat="false" ht="15" hidden="false" customHeight="false" outlineLevel="0" collapsed="false">
      <c r="A1333" s="0" t="s">
        <v>1387</v>
      </c>
      <c r="B1333" s="0" t="s">
        <v>49</v>
      </c>
      <c r="C1333" s="0" t="s">
        <v>41</v>
      </c>
      <c r="D1333" s="0" t="n">
        <v>46</v>
      </c>
      <c r="E1333" s="0" t="n">
        <v>808461.38</v>
      </c>
    </row>
    <row r="1334" customFormat="false" ht="15" hidden="false" customHeight="false" outlineLevel="0" collapsed="false">
      <c r="A1334" s="0" t="s">
        <v>1388</v>
      </c>
      <c r="B1334" s="0" t="s">
        <v>49</v>
      </c>
      <c r="C1334" s="0" t="s">
        <v>64</v>
      </c>
      <c r="D1334" s="0" t="n">
        <v>79</v>
      </c>
      <c r="E1334" s="0" t="n">
        <v>693741.52</v>
      </c>
    </row>
    <row r="1335" customFormat="false" ht="15" hidden="false" customHeight="false" outlineLevel="0" collapsed="false">
      <c r="A1335" s="0" t="s">
        <v>1389</v>
      </c>
      <c r="B1335" s="0" t="s">
        <v>36</v>
      </c>
      <c r="C1335" s="0" t="s">
        <v>64</v>
      </c>
      <c r="D1335" s="0" t="n">
        <v>6</v>
      </c>
      <c r="E1335" s="0" t="n">
        <v>736803.32</v>
      </c>
    </row>
    <row r="1336" customFormat="false" ht="15" hidden="false" customHeight="false" outlineLevel="0" collapsed="false">
      <c r="A1336" s="0" t="s">
        <v>1390</v>
      </c>
      <c r="B1336" s="0" t="s">
        <v>49</v>
      </c>
      <c r="C1336" s="0" t="s">
        <v>89</v>
      </c>
      <c r="D1336" s="0" t="n">
        <v>82</v>
      </c>
      <c r="E1336" s="0" t="n">
        <v>784323.32</v>
      </c>
    </row>
    <row r="1337" customFormat="false" ht="15" hidden="false" customHeight="false" outlineLevel="0" collapsed="false">
      <c r="A1337" s="0" t="s">
        <v>1391</v>
      </c>
      <c r="B1337" s="0" t="s">
        <v>36</v>
      </c>
      <c r="C1337" s="0" t="s">
        <v>44</v>
      </c>
      <c r="D1337" s="0" t="n">
        <v>17</v>
      </c>
      <c r="E1337" s="0" t="n">
        <v>373344.36</v>
      </c>
    </row>
    <row r="1338" customFormat="false" ht="15" hidden="false" customHeight="false" outlineLevel="0" collapsed="false">
      <c r="A1338" s="0" t="s">
        <v>1392</v>
      </c>
      <c r="B1338" s="0" t="s">
        <v>36</v>
      </c>
      <c r="C1338" s="0" t="s">
        <v>44</v>
      </c>
      <c r="D1338" s="0" t="n">
        <v>51</v>
      </c>
      <c r="E1338" s="0" t="n">
        <v>413288.32</v>
      </c>
    </row>
    <row r="1339" customFormat="false" ht="15" hidden="false" customHeight="false" outlineLevel="0" collapsed="false">
      <c r="A1339" s="0" t="s">
        <v>1393</v>
      </c>
      <c r="B1339" s="0" t="s">
        <v>36</v>
      </c>
      <c r="C1339" s="0" t="s">
        <v>50</v>
      </c>
      <c r="D1339" s="0" t="n">
        <v>72</v>
      </c>
      <c r="E1339" s="0" t="n">
        <v>428480.15</v>
      </c>
    </row>
    <row r="1340" customFormat="false" ht="15" hidden="false" customHeight="false" outlineLevel="0" collapsed="false">
      <c r="A1340" s="0" t="s">
        <v>1394</v>
      </c>
      <c r="B1340" s="0" t="s">
        <v>36</v>
      </c>
      <c r="C1340" s="0" t="s">
        <v>53</v>
      </c>
      <c r="D1340" s="0" t="n">
        <v>56</v>
      </c>
      <c r="E1340" s="0" t="n">
        <v>300943.94</v>
      </c>
    </row>
    <row r="1341" customFormat="false" ht="15" hidden="false" customHeight="false" outlineLevel="0" collapsed="false">
      <c r="A1341" s="0" t="s">
        <v>1395</v>
      </c>
      <c r="B1341" s="0" t="s">
        <v>49</v>
      </c>
      <c r="C1341" s="0" t="s">
        <v>53</v>
      </c>
      <c r="D1341" s="0" t="n">
        <v>48</v>
      </c>
      <c r="E1341" s="0" t="n">
        <v>786873.44</v>
      </c>
    </row>
    <row r="1342" customFormat="false" ht="15" hidden="false" customHeight="false" outlineLevel="0" collapsed="false">
      <c r="A1342" s="0" t="s">
        <v>1396</v>
      </c>
      <c r="B1342" s="0" t="s">
        <v>36</v>
      </c>
      <c r="C1342" s="0" t="s">
        <v>41</v>
      </c>
      <c r="D1342" s="0" t="n">
        <v>59</v>
      </c>
      <c r="E1342" s="0" t="n">
        <v>796028.49</v>
      </c>
    </row>
    <row r="1343" customFormat="false" ht="15" hidden="false" customHeight="false" outlineLevel="0" collapsed="false">
      <c r="A1343" s="0" t="s">
        <v>1397</v>
      </c>
      <c r="B1343" s="0" t="s">
        <v>66</v>
      </c>
      <c r="C1343" s="0" t="s">
        <v>68</v>
      </c>
      <c r="D1343" s="0" t="n">
        <v>44</v>
      </c>
      <c r="E1343" s="0" t="n">
        <v>2960983.43</v>
      </c>
    </row>
    <row r="1344" customFormat="false" ht="15" hidden="false" customHeight="false" outlineLevel="0" collapsed="false">
      <c r="A1344" s="0" t="s">
        <v>1398</v>
      </c>
      <c r="B1344" s="0" t="s">
        <v>66</v>
      </c>
      <c r="C1344" s="0" t="s">
        <v>81</v>
      </c>
      <c r="D1344" s="0" t="n">
        <v>57</v>
      </c>
      <c r="E1344" s="0" t="n">
        <v>1802125.07</v>
      </c>
    </row>
    <row r="1345" customFormat="false" ht="15" hidden="false" customHeight="false" outlineLevel="0" collapsed="false">
      <c r="A1345" s="0" t="s">
        <v>1399</v>
      </c>
      <c r="B1345" s="0" t="s">
        <v>49</v>
      </c>
      <c r="C1345" s="0" t="s">
        <v>44</v>
      </c>
      <c r="D1345" s="0" t="n">
        <v>38</v>
      </c>
      <c r="E1345" s="0" t="n">
        <v>807142.53</v>
      </c>
    </row>
    <row r="1346" customFormat="false" ht="15" hidden="false" customHeight="false" outlineLevel="0" collapsed="false">
      <c r="A1346" s="0" t="s">
        <v>1400</v>
      </c>
      <c r="B1346" s="0" t="s">
        <v>66</v>
      </c>
      <c r="C1346" s="0" t="s">
        <v>64</v>
      </c>
      <c r="D1346" s="0" t="n">
        <v>15</v>
      </c>
      <c r="E1346" s="0" t="n">
        <v>3629477.23</v>
      </c>
    </row>
    <row r="1347" customFormat="false" ht="15" hidden="false" customHeight="false" outlineLevel="0" collapsed="false">
      <c r="A1347" s="0" t="s">
        <v>1401</v>
      </c>
      <c r="B1347" s="0" t="s">
        <v>40</v>
      </c>
      <c r="C1347" s="0" t="s">
        <v>81</v>
      </c>
      <c r="D1347" s="0" t="n">
        <v>26</v>
      </c>
      <c r="E1347" s="0" t="n">
        <v>1800631.19</v>
      </c>
    </row>
    <row r="1348" customFormat="false" ht="15" hidden="false" customHeight="false" outlineLevel="0" collapsed="false">
      <c r="A1348" s="0" t="s">
        <v>1402</v>
      </c>
      <c r="B1348" s="0" t="s">
        <v>36</v>
      </c>
      <c r="C1348" s="0" t="s">
        <v>53</v>
      </c>
      <c r="D1348" s="0" t="n">
        <v>13</v>
      </c>
      <c r="E1348" s="0" t="n">
        <v>337047.36</v>
      </c>
    </row>
    <row r="1349" customFormat="false" ht="15" hidden="false" customHeight="false" outlineLevel="0" collapsed="false">
      <c r="A1349" s="0" t="s">
        <v>1403</v>
      </c>
      <c r="B1349" s="0" t="s">
        <v>36</v>
      </c>
      <c r="C1349" s="0" t="s">
        <v>53</v>
      </c>
      <c r="D1349" s="0" t="n">
        <v>83</v>
      </c>
      <c r="E1349" s="0" t="n">
        <v>769330.55</v>
      </c>
    </row>
    <row r="1350" customFormat="false" ht="15" hidden="false" customHeight="false" outlineLevel="0" collapsed="false">
      <c r="A1350" s="0" t="s">
        <v>1404</v>
      </c>
      <c r="B1350" s="0" t="s">
        <v>36</v>
      </c>
      <c r="C1350" s="0" t="s">
        <v>64</v>
      </c>
      <c r="D1350" s="0" t="n">
        <v>62</v>
      </c>
      <c r="E1350" s="0" t="n">
        <v>403457.79</v>
      </c>
    </row>
    <row r="1351" customFormat="false" ht="15" hidden="false" customHeight="false" outlineLevel="0" collapsed="false">
      <c r="A1351" s="0" t="s">
        <v>1405</v>
      </c>
      <c r="B1351" s="0" t="s">
        <v>36</v>
      </c>
      <c r="C1351" s="0" t="s">
        <v>44</v>
      </c>
      <c r="D1351" s="0" t="n">
        <v>67</v>
      </c>
      <c r="E1351" s="0" t="n">
        <v>555755.2</v>
      </c>
    </row>
    <row r="1352" customFormat="false" ht="15" hidden="false" customHeight="false" outlineLevel="0" collapsed="false">
      <c r="A1352" s="0" t="s">
        <v>1406</v>
      </c>
      <c r="B1352" s="0" t="s">
        <v>40</v>
      </c>
      <c r="C1352" s="0" t="s">
        <v>53</v>
      </c>
      <c r="D1352" s="0" t="n">
        <v>65</v>
      </c>
      <c r="E1352" s="0" t="n">
        <v>1618575.33</v>
      </c>
    </row>
    <row r="1353" customFormat="false" ht="15" hidden="false" customHeight="false" outlineLevel="0" collapsed="false">
      <c r="A1353" s="0" t="s">
        <v>1407</v>
      </c>
      <c r="B1353" s="0" t="s">
        <v>49</v>
      </c>
      <c r="C1353" s="0" t="s">
        <v>64</v>
      </c>
      <c r="D1353" s="0" t="n">
        <v>38</v>
      </c>
      <c r="E1353" s="0" t="n">
        <v>453150.75</v>
      </c>
    </row>
    <row r="1354" customFormat="false" ht="15" hidden="false" customHeight="false" outlineLevel="0" collapsed="false">
      <c r="A1354" s="0" t="s">
        <v>1408</v>
      </c>
      <c r="B1354" s="0" t="s">
        <v>36</v>
      </c>
      <c r="C1354" s="0" t="s">
        <v>37</v>
      </c>
      <c r="D1354" s="0" t="n">
        <v>28</v>
      </c>
      <c r="E1354" s="0" t="n">
        <v>415397.56</v>
      </c>
    </row>
    <row r="1355" customFormat="false" ht="15" hidden="false" customHeight="false" outlineLevel="0" collapsed="false">
      <c r="A1355" s="0" t="s">
        <v>1409</v>
      </c>
      <c r="B1355" s="0" t="s">
        <v>66</v>
      </c>
      <c r="C1355" s="0" t="s">
        <v>44</v>
      </c>
      <c r="D1355" s="0" t="n">
        <v>4</v>
      </c>
      <c r="E1355" s="0" t="n">
        <v>1658307.69</v>
      </c>
    </row>
    <row r="1356" customFormat="false" ht="15" hidden="false" customHeight="false" outlineLevel="0" collapsed="false">
      <c r="A1356" s="0" t="s">
        <v>1410</v>
      </c>
      <c r="B1356" s="0" t="s">
        <v>36</v>
      </c>
      <c r="C1356" s="0" t="s">
        <v>64</v>
      </c>
      <c r="D1356" s="0" t="n">
        <v>84</v>
      </c>
      <c r="E1356" s="0" t="n">
        <v>624762.48</v>
      </c>
    </row>
    <row r="1357" customFormat="false" ht="15" hidden="false" customHeight="false" outlineLevel="0" collapsed="false">
      <c r="A1357" s="0" t="s">
        <v>1411</v>
      </c>
      <c r="B1357" s="0" t="s">
        <v>36</v>
      </c>
      <c r="C1357" s="0" t="s">
        <v>41</v>
      </c>
      <c r="D1357" s="0" t="n">
        <v>89</v>
      </c>
      <c r="E1357" s="0" t="n">
        <v>749497.53</v>
      </c>
    </row>
    <row r="1358" customFormat="false" ht="15" hidden="false" customHeight="false" outlineLevel="0" collapsed="false">
      <c r="A1358" s="0" t="s">
        <v>1412</v>
      </c>
      <c r="B1358" s="0" t="s">
        <v>40</v>
      </c>
      <c r="C1358" s="0" t="s">
        <v>53</v>
      </c>
      <c r="D1358" s="0" t="n">
        <v>24</v>
      </c>
      <c r="E1358" s="0" t="n">
        <v>1505774.79</v>
      </c>
    </row>
    <row r="1359" customFormat="false" ht="15" hidden="false" customHeight="false" outlineLevel="0" collapsed="false">
      <c r="A1359" s="0" t="s">
        <v>1413</v>
      </c>
      <c r="B1359" s="0" t="s">
        <v>40</v>
      </c>
      <c r="C1359" s="0" t="s">
        <v>53</v>
      </c>
      <c r="D1359" s="0" t="n">
        <v>32</v>
      </c>
      <c r="E1359" s="0" t="n">
        <v>1626426.74</v>
      </c>
    </row>
    <row r="1360" customFormat="false" ht="15" hidden="false" customHeight="false" outlineLevel="0" collapsed="false">
      <c r="A1360" s="0" t="s">
        <v>1414</v>
      </c>
      <c r="B1360" s="0" t="s">
        <v>36</v>
      </c>
      <c r="C1360" s="0" t="s">
        <v>44</v>
      </c>
      <c r="D1360" s="0" t="n">
        <v>17</v>
      </c>
      <c r="E1360" s="0" t="n">
        <v>404207.24</v>
      </c>
    </row>
    <row r="1361" customFormat="false" ht="15" hidden="false" customHeight="false" outlineLevel="0" collapsed="false">
      <c r="A1361" s="0" t="s">
        <v>1415</v>
      </c>
      <c r="B1361" s="0" t="s">
        <v>36</v>
      </c>
      <c r="C1361" s="0" t="s">
        <v>41</v>
      </c>
      <c r="D1361" s="0" t="n">
        <v>63</v>
      </c>
      <c r="E1361" s="0" t="n">
        <v>657517.68</v>
      </c>
    </row>
    <row r="1362" customFormat="false" ht="15" hidden="false" customHeight="false" outlineLevel="0" collapsed="false">
      <c r="A1362" s="0" t="s">
        <v>1416</v>
      </c>
      <c r="B1362" s="0" t="s">
        <v>49</v>
      </c>
      <c r="C1362" s="0" t="s">
        <v>44</v>
      </c>
      <c r="D1362" s="0" t="n">
        <v>91</v>
      </c>
      <c r="E1362" s="0" t="n">
        <v>464108.16</v>
      </c>
    </row>
    <row r="1363" customFormat="false" ht="15" hidden="false" customHeight="false" outlineLevel="0" collapsed="false">
      <c r="A1363" s="0" t="s">
        <v>1417</v>
      </c>
      <c r="B1363" s="0" t="s">
        <v>49</v>
      </c>
      <c r="C1363" s="0" t="s">
        <v>89</v>
      </c>
      <c r="D1363" s="0" t="n">
        <v>42</v>
      </c>
      <c r="E1363" s="0" t="n">
        <v>933864.72</v>
      </c>
    </row>
    <row r="1364" customFormat="false" ht="15" hidden="false" customHeight="false" outlineLevel="0" collapsed="false">
      <c r="A1364" s="0" t="s">
        <v>1418</v>
      </c>
      <c r="B1364" s="0" t="s">
        <v>36</v>
      </c>
      <c r="C1364" s="0" t="s">
        <v>64</v>
      </c>
      <c r="D1364" s="0" t="n">
        <v>66</v>
      </c>
      <c r="E1364" s="0" t="n">
        <v>271316.07</v>
      </c>
    </row>
    <row r="1365" customFormat="false" ht="15" hidden="false" customHeight="false" outlineLevel="0" collapsed="false">
      <c r="A1365" s="0" t="s">
        <v>1419</v>
      </c>
      <c r="B1365" s="0" t="s">
        <v>40</v>
      </c>
      <c r="C1365" s="0" t="s">
        <v>53</v>
      </c>
      <c r="D1365" s="0" t="n">
        <v>33</v>
      </c>
      <c r="E1365" s="0" t="n">
        <v>1385990.4</v>
      </c>
    </row>
    <row r="1366" customFormat="false" ht="15" hidden="false" customHeight="false" outlineLevel="0" collapsed="false">
      <c r="A1366" s="0" t="s">
        <v>1420</v>
      </c>
      <c r="B1366" s="0" t="s">
        <v>40</v>
      </c>
      <c r="C1366" s="0" t="s">
        <v>64</v>
      </c>
      <c r="D1366" s="0" t="n">
        <v>57</v>
      </c>
      <c r="E1366" s="0" t="n">
        <v>879082.55</v>
      </c>
    </row>
    <row r="1367" customFormat="false" ht="15" hidden="false" customHeight="false" outlineLevel="0" collapsed="false">
      <c r="A1367" s="0" t="s">
        <v>1421</v>
      </c>
      <c r="B1367" s="0" t="s">
        <v>40</v>
      </c>
      <c r="C1367" s="0" t="s">
        <v>41</v>
      </c>
      <c r="D1367" s="0" t="n">
        <v>37</v>
      </c>
      <c r="E1367" s="0" t="n">
        <v>1394958.1</v>
      </c>
    </row>
    <row r="1368" customFormat="false" ht="15" hidden="false" customHeight="false" outlineLevel="0" collapsed="false">
      <c r="A1368" s="0" t="s">
        <v>1422</v>
      </c>
      <c r="B1368" s="0" t="s">
        <v>36</v>
      </c>
      <c r="C1368" s="0" t="s">
        <v>76</v>
      </c>
      <c r="D1368" s="0" t="n">
        <v>63</v>
      </c>
      <c r="E1368" s="0" t="n">
        <v>568697.65</v>
      </c>
    </row>
    <row r="1369" customFormat="false" ht="15" hidden="false" customHeight="false" outlineLevel="0" collapsed="false">
      <c r="A1369" s="0" t="s">
        <v>1423</v>
      </c>
      <c r="B1369" s="0" t="s">
        <v>36</v>
      </c>
      <c r="C1369" s="0" t="s">
        <v>68</v>
      </c>
      <c r="D1369" s="0" t="n">
        <v>80</v>
      </c>
      <c r="E1369" s="0" t="n">
        <v>631205.38</v>
      </c>
    </row>
    <row r="1370" customFormat="false" ht="15" hidden="false" customHeight="false" outlineLevel="0" collapsed="false">
      <c r="A1370" s="0" t="s">
        <v>1424</v>
      </c>
      <c r="B1370" s="0" t="s">
        <v>40</v>
      </c>
      <c r="C1370" s="0" t="s">
        <v>41</v>
      </c>
      <c r="D1370" s="0" t="n">
        <v>48</v>
      </c>
      <c r="E1370" s="0" t="n">
        <v>923319.47</v>
      </c>
    </row>
    <row r="1371" customFormat="false" ht="15" hidden="false" customHeight="false" outlineLevel="0" collapsed="false">
      <c r="A1371" s="0" t="s">
        <v>1425</v>
      </c>
      <c r="B1371" s="0" t="s">
        <v>40</v>
      </c>
      <c r="C1371" s="0" t="s">
        <v>76</v>
      </c>
      <c r="D1371" s="0" t="n">
        <v>39</v>
      </c>
      <c r="E1371" s="0" t="n">
        <v>1327381.31</v>
      </c>
    </row>
    <row r="1372" customFormat="false" ht="15" hidden="false" customHeight="false" outlineLevel="0" collapsed="false">
      <c r="A1372" s="0" t="s">
        <v>1426</v>
      </c>
      <c r="B1372" s="0" t="s">
        <v>36</v>
      </c>
      <c r="C1372" s="0" t="s">
        <v>89</v>
      </c>
      <c r="D1372" s="0" t="n">
        <v>66</v>
      </c>
      <c r="E1372" s="0" t="n">
        <v>401457.73</v>
      </c>
    </row>
    <row r="1373" customFormat="false" ht="15" hidden="false" customHeight="false" outlineLevel="0" collapsed="false">
      <c r="A1373" s="0" t="s">
        <v>1427</v>
      </c>
      <c r="B1373" s="0" t="s">
        <v>36</v>
      </c>
      <c r="C1373" s="0" t="s">
        <v>53</v>
      </c>
      <c r="D1373" s="0" t="n">
        <v>23</v>
      </c>
      <c r="E1373" s="0" t="n">
        <v>736451.64</v>
      </c>
    </row>
    <row r="1374" customFormat="false" ht="15" hidden="false" customHeight="false" outlineLevel="0" collapsed="false">
      <c r="A1374" s="0" t="s">
        <v>1428</v>
      </c>
      <c r="B1374" s="0" t="s">
        <v>49</v>
      </c>
      <c r="C1374" s="0" t="s">
        <v>89</v>
      </c>
      <c r="D1374" s="0" t="n">
        <v>50</v>
      </c>
      <c r="E1374" s="0" t="n">
        <v>392501.52</v>
      </c>
    </row>
    <row r="1375" customFormat="false" ht="15" hidden="false" customHeight="false" outlineLevel="0" collapsed="false">
      <c r="A1375" s="0" t="s">
        <v>1429</v>
      </c>
      <c r="B1375" s="0" t="s">
        <v>40</v>
      </c>
      <c r="C1375" s="0" t="s">
        <v>53</v>
      </c>
      <c r="D1375" s="0" t="n">
        <v>53</v>
      </c>
      <c r="E1375" s="0" t="n">
        <v>1626067.99</v>
      </c>
    </row>
    <row r="1376" customFormat="false" ht="15" hidden="false" customHeight="false" outlineLevel="0" collapsed="false">
      <c r="A1376" s="0" t="s">
        <v>1430</v>
      </c>
      <c r="B1376" s="0" t="s">
        <v>36</v>
      </c>
      <c r="C1376" s="0" t="s">
        <v>81</v>
      </c>
      <c r="D1376" s="0" t="n">
        <v>41</v>
      </c>
      <c r="E1376" s="0" t="n">
        <v>336933.08</v>
      </c>
    </row>
    <row r="1377" customFormat="false" ht="15" hidden="false" customHeight="false" outlineLevel="0" collapsed="false">
      <c r="A1377" s="0" t="s">
        <v>1431</v>
      </c>
      <c r="B1377" s="0" t="s">
        <v>40</v>
      </c>
      <c r="C1377" s="0" t="s">
        <v>53</v>
      </c>
      <c r="D1377" s="0" t="n">
        <v>26</v>
      </c>
      <c r="E1377" s="0" t="n">
        <v>1978687.13</v>
      </c>
    </row>
    <row r="1378" customFormat="false" ht="15" hidden="false" customHeight="false" outlineLevel="0" collapsed="false">
      <c r="A1378" s="0" t="s">
        <v>1432</v>
      </c>
      <c r="B1378" s="0" t="s">
        <v>40</v>
      </c>
      <c r="C1378" s="0" t="s">
        <v>64</v>
      </c>
      <c r="D1378" s="0" t="n">
        <v>95</v>
      </c>
      <c r="E1378" s="0" t="n">
        <v>1195366.08</v>
      </c>
    </row>
    <row r="1379" customFormat="false" ht="15" hidden="false" customHeight="false" outlineLevel="0" collapsed="false">
      <c r="A1379" s="0" t="s">
        <v>1433</v>
      </c>
      <c r="B1379" s="0" t="s">
        <v>36</v>
      </c>
      <c r="C1379" s="0" t="s">
        <v>37</v>
      </c>
      <c r="D1379" s="0" t="n">
        <v>81</v>
      </c>
      <c r="E1379" s="0" t="n">
        <v>594876.05</v>
      </c>
    </row>
    <row r="1380" customFormat="false" ht="15" hidden="false" customHeight="false" outlineLevel="0" collapsed="false">
      <c r="A1380" s="0" t="s">
        <v>1434</v>
      </c>
      <c r="B1380" s="0" t="s">
        <v>49</v>
      </c>
      <c r="C1380" s="0" t="s">
        <v>44</v>
      </c>
      <c r="D1380" s="0" t="n">
        <v>29</v>
      </c>
      <c r="E1380" s="0" t="n">
        <v>780405.12</v>
      </c>
    </row>
    <row r="1381" customFormat="false" ht="15" hidden="false" customHeight="false" outlineLevel="0" collapsed="false">
      <c r="A1381" s="0" t="s">
        <v>1435</v>
      </c>
      <c r="B1381" s="0" t="s">
        <v>49</v>
      </c>
      <c r="C1381" s="0" t="s">
        <v>44</v>
      </c>
      <c r="D1381" s="0" t="n">
        <v>78</v>
      </c>
      <c r="E1381" s="0" t="n">
        <v>959794.33</v>
      </c>
    </row>
    <row r="1382" customFormat="false" ht="15" hidden="false" customHeight="false" outlineLevel="0" collapsed="false">
      <c r="A1382" s="0" t="s">
        <v>1436</v>
      </c>
      <c r="B1382" s="0" t="s">
        <v>49</v>
      </c>
      <c r="C1382" s="0" t="s">
        <v>41</v>
      </c>
      <c r="D1382" s="0" t="n">
        <v>79</v>
      </c>
      <c r="E1382" s="0" t="n">
        <v>607524.71</v>
      </c>
    </row>
    <row r="1383" customFormat="false" ht="15" hidden="false" customHeight="false" outlineLevel="0" collapsed="false">
      <c r="A1383" s="0" t="s">
        <v>1437</v>
      </c>
      <c r="B1383" s="0" t="s">
        <v>36</v>
      </c>
      <c r="C1383" s="0" t="s">
        <v>44</v>
      </c>
      <c r="D1383" s="0" t="n">
        <v>11</v>
      </c>
      <c r="E1383" s="0" t="n">
        <v>643336.47</v>
      </c>
    </row>
    <row r="1384" customFormat="false" ht="15" hidden="false" customHeight="false" outlineLevel="0" collapsed="false">
      <c r="A1384" s="0" t="s">
        <v>1438</v>
      </c>
      <c r="B1384" s="0" t="s">
        <v>36</v>
      </c>
      <c r="C1384" s="0" t="s">
        <v>44</v>
      </c>
      <c r="D1384" s="0" t="n">
        <v>24</v>
      </c>
      <c r="E1384" s="0" t="n">
        <v>829268.68</v>
      </c>
    </row>
    <row r="1385" customFormat="false" ht="15" hidden="false" customHeight="false" outlineLevel="0" collapsed="false">
      <c r="A1385" s="0" t="s">
        <v>1439</v>
      </c>
      <c r="B1385" s="0" t="s">
        <v>36</v>
      </c>
      <c r="C1385" s="0" t="s">
        <v>64</v>
      </c>
      <c r="D1385" s="0" t="n">
        <v>84</v>
      </c>
      <c r="E1385" s="0" t="n">
        <v>461106.11</v>
      </c>
    </row>
    <row r="1386" customFormat="false" ht="15" hidden="false" customHeight="false" outlineLevel="0" collapsed="false">
      <c r="A1386" s="0" t="s">
        <v>1440</v>
      </c>
      <c r="B1386" s="0" t="s">
        <v>36</v>
      </c>
      <c r="C1386" s="0" t="s">
        <v>53</v>
      </c>
      <c r="D1386" s="0" t="n">
        <v>54</v>
      </c>
      <c r="E1386" s="0" t="n">
        <v>397884.65</v>
      </c>
    </row>
    <row r="1387" customFormat="false" ht="15" hidden="false" customHeight="false" outlineLevel="0" collapsed="false">
      <c r="A1387" s="0" t="s">
        <v>1441</v>
      </c>
      <c r="B1387" s="0" t="s">
        <v>49</v>
      </c>
      <c r="C1387" s="0" t="s">
        <v>53</v>
      </c>
      <c r="D1387" s="0" t="n">
        <v>22</v>
      </c>
      <c r="E1387" s="0" t="n">
        <v>714885.86</v>
      </c>
    </row>
    <row r="1388" customFormat="false" ht="15" hidden="false" customHeight="false" outlineLevel="0" collapsed="false">
      <c r="A1388" s="0" t="s">
        <v>1442</v>
      </c>
      <c r="B1388" s="0" t="s">
        <v>36</v>
      </c>
      <c r="C1388" s="0" t="s">
        <v>53</v>
      </c>
      <c r="D1388" s="0" t="n">
        <v>52</v>
      </c>
      <c r="E1388" s="0" t="n">
        <v>486411.6</v>
      </c>
    </row>
    <row r="1389" customFormat="false" ht="15" hidden="false" customHeight="false" outlineLevel="0" collapsed="false">
      <c r="A1389" s="0" t="s">
        <v>1443</v>
      </c>
      <c r="B1389" s="0" t="s">
        <v>36</v>
      </c>
      <c r="C1389" s="0" t="s">
        <v>50</v>
      </c>
      <c r="D1389" s="0" t="n">
        <v>57</v>
      </c>
      <c r="E1389" s="0" t="n">
        <v>330632.11</v>
      </c>
    </row>
    <row r="1390" customFormat="false" ht="15" hidden="false" customHeight="false" outlineLevel="0" collapsed="false">
      <c r="A1390" s="0" t="s">
        <v>1444</v>
      </c>
      <c r="B1390" s="0" t="s">
        <v>36</v>
      </c>
      <c r="C1390" s="0" t="s">
        <v>44</v>
      </c>
      <c r="D1390" s="0" t="n">
        <v>42</v>
      </c>
      <c r="E1390" s="0" t="n">
        <v>698314.86</v>
      </c>
    </row>
    <row r="1391" customFormat="false" ht="15" hidden="false" customHeight="false" outlineLevel="0" collapsed="false">
      <c r="A1391" s="0" t="s">
        <v>1445</v>
      </c>
      <c r="B1391" s="0" t="s">
        <v>36</v>
      </c>
      <c r="C1391" s="0" t="s">
        <v>53</v>
      </c>
      <c r="D1391" s="0" t="n">
        <v>57</v>
      </c>
      <c r="E1391" s="0" t="n">
        <v>532691.28</v>
      </c>
    </row>
    <row r="1392" customFormat="false" ht="15" hidden="false" customHeight="false" outlineLevel="0" collapsed="false">
      <c r="A1392" s="0" t="s">
        <v>1446</v>
      </c>
      <c r="B1392" s="0" t="s">
        <v>49</v>
      </c>
      <c r="C1392" s="0" t="s">
        <v>76</v>
      </c>
      <c r="D1392" s="0" t="n">
        <v>33</v>
      </c>
      <c r="E1392" s="0" t="n">
        <v>485156.24</v>
      </c>
    </row>
    <row r="1393" customFormat="false" ht="15" hidden="false" customHeight="false" outlineLevel="0" collapsed="false">
      <c r="A1393" s="0" t="s">
        <v>1447</v>
      </c>
      <c r="B1393" s="0" t="s">
        <v>36</v>
      </c>
      <c r="C1393" s="0" t="s">
        <v>81</v>
      </c>
      <c r="D1393" s="0" t="n">
        <v>70</v>
      </c>
      <c r="E1393" s="0" t="n">
        <v>668353.91</v>
      </c>
    </row>
    <row r="1394" customFormat="false" ht="15" hidden="false" customHeight="false" outlineLevel="0" collapsed="false">
      <c r="A1394" s="0" t="s">
        <v>1448</v>
      </c>
      <c r="B1394" s="0" t="s">
        <v>36</v>
      </c>
      <c r="C1394" s="0" t="s">
        <v>41</v>
      </c>
      <c r="D1394" s="0" t="n">
        <v>85</v>
      </c>
      <c r="E1394" s="0" t="n">
        <v>586801.71</v>
      </c>
    </row>
    <row r="1395" customFormat="false" ht="15" hidden="false" customHeight="false" outlineLevel="0" collapsed="false">
      <c r="A1395" s="0" t="s">
        <v>1449</v>
      </c>
      <c r="B1395" s="0" t="s">
        <v>49</v>
      </c>
      <c r="C1395" s="0" t="s">
        <v>68</v>
      </c>
      <c r="D1395" s="0" t="n">
        <v>73</v>
      </c>
      <c r="E1395" s="0" t="n">
        <v>537082.74</v>
      </c>
    </row>
    <row r="1396" customFormat="false" ht="15" hidden="false" customHeight="false" outlineLevel="0" collapsed="false">
      <c r="A1396" s="0" t="s">
        <v>1450</v>
      </c>
      <c r="B1396" s="0" t="s">
        <v>36</v>
      </c>
      <c r="C1396" s="0" t="s">
        <v>89</v>
      </c>
      <c r="D1396" s="0" t="n">
        <v>40</v>
      </c>
      <c r="E1396" s="0" t="n">
        <v>742056.57</v>
      </c>
    </row>
    <row r="1397" customFormat="false" ht="15" hidden="false" customHeight="false" outlineLevel="0" collapsed="false">
      <c r="A1397" s="0" t="s">
        <v>1451</v>
      </c>
      <c r="B1397" s="0" t="s">
        <v>36</v>
      </c>
      <c r="C1397" s="0" t="s">
        <v>44</v>
      </c>
      <c r="D1397" s="0" t="n">
        <v>45</v>
      </c>
      <c r="E1397" s="0" t="n">
        <v>414884.96</v>
      </c>
    </row>
    <row r="1398" customFormat="false" ht="15" hidden="false" customHeight="false" outlineLevel="0" collapsed="false">
      <c r="A1398" s="0" t="s">
        <v>1452</v>
      </c>
      <c r="B1398" s="0" t="s">
        <v>66</v>
      </c>
      <c r="C1398" s="0" t="s">
        <v>64</v>
      </c>
      <c r="D1398" s="0" t="n">
        <v>11</v>
      </c>
      <c r="E1398" s="0" t="n">
        <v>3007558.68</v>
      </c>
    </row>
    <row r="1399" customFormat="false" ht="15" hidden="false" customHeight="false" outlineLevel="0" collapsed="false">
      <c r="A1399" s="0" t="s">
        <v>1453</v>
      </c>
      <c r="B1399" s="0" t="s">
        <v>49</v>
      </c>
      <c r="C1399" s="0" t="s">
        <v>64</v>
      </c>
      <c r="D1399" s="0" t="n">
        <v>49</v>
      </c>
      <c r="E1399" s="0" t="n">
        <v>549607.89</v>
      </c>
    </row>
    <row r="1400" customFormat="false" ht="15" hidden="false" customHeight="false" outlineLevel="0" collapsed="false">
      <c r="A1400" s="0" t="s">
        <v>1454</v>
      </c>
      <c r="B1400" s="0" t="s">
        <v>36</v>
      </c>
      <c r="C1400" s="0" t="s">
        <v>53</v>
      </c>
      <c r="D1400" s="0" t="n">
        <v>59</v>
      </c>
      <c r="E1400" s="0" t="n">
        <v>435045.26</v>
      </c>
    </row>
    <row r="1401" customFormat="false" ht="15" hidden="false" customHeight="false" outlineLevel="0" collapsed="false">
      <c r="A1401" s="0" t="s">
        <v>1455</v>
      </c>
      <c r="B1401" s="0" t="s">
        <v>36</v>
      </c>
      <c r="C1401" s="0" t="s">
        <v>53</v>
      </c>
      <c r="D1401" s="0" t="n">
        <v>33</v>
      </c>
      <c r="E1401" s="0" t="n">
        <v>691144.12</v>
      </c>
    </row>
    <row r="1402" customFormat="false" ht="15" hidden="false" customHeight="false" outlineLevel="0" collapsed="false">
      <c r="A1402" s="0" t="s">
        <v>1456</v>
      </c>
      <c r="B1402" s="0" t="s">
        <v>49</v>
      </c>
      <c r="C1402" s="0" t="s">
        <v>53</v>
      </c>
      <c r="D1402" s="0" t="n">
        <v>51</v>
      </c>
      <c r="E1402" s="0" t="n">
        <v>543922.1</v>
      </c>
    </row>
    <row r="1403" customFormat="false" ht="15" hidden="false" customHeight="false" outlineLevel="0" collapsed="false">
      <c r="A1403" s="0" t="s">
        <v>1457</v>
      </c>
      <c r="B1403" s="0" t="s">
        <v>36</v>
      </c>
      <c r="C1403" s="0" t="s">
        <v>50</v>
      </c>
      <c r="D1403" s="0" t="n">
        <v>18</v>
      </c>
      <c r="E1403" s="0" t="n">
        <v>500964.15</v>
      </c>
    </row>
    <row r="1404" customFormat="false" ht="15" hidden="false" customHeight="false" outlineLevel="0" collapsed="false">
      <c r="A1404" s="0" t="s">
        <v>1458</v>
      </c>
      <c r="B1404" s="0" t="s">
        <v>36</v>
      </c>
      <c r="C1404" s="0" t="s">
        <v>81</v>
      </c>
      <c r="D1404" s="0" t="n">
        <v>91</v>
      </c>
      <c r="E1404" s="0" t="n">
        <v>379027.15</v>
      </c>
    </row>
    <row r="1405" customFormat="false" ht="15" hidden="false" customHeight="false" outlineLevel="0" collapsed="false">
      <c r="A1405" s="0" t="s">
        <v>1459</v>
      </c>
      <c r="B1405" s="0" t="s">
        <v>66</v>
      </c>
      <c r="C1405" s="0" t="s">
        <v>44</v>
      </c>
      <c r="D1405" s="0" t="n">
        <v>82</v>
      </c>
      <c r="E1405" s="0" t="n">
        <v>3360364.66</v>
      </c>
    </row>
    <row r="1406" customFormat="false" ht="15" hidden="false" customHeight="false" outlineLevel="0" collapsed="false">
      <c r="A1406" s="0" t="s">
        <v>1460</v>
      </c>
      <c r="B1406" s="0" t="s">
        <v>49</v>
      </c>
      <c r="C1406" s="0" t="s">
        <v>81</v>
      </c>
      <c r="D1406" s="0" t="n">
        <v>49</v>
      </c>
      <c r="E1406" s="0" t="n">
        <v>724307.56</v>
      </c>
    </row>
    <row r="1407" customFormat="false" ht="15" hidden="false" customHeight="false" outlineLevel="0" collapsed="false">
      <c r="A1407" s="0" t="s">
        <v>1461</v>
      </c>
      <c r="B1407" s="0" t="s">
        <v>36</v>
      </c>
      <c r="C1407" s="0" t="s">
        <v>41</v>
      </c>
      <c r="D1407" s="0" t="n">
        <v>40</v>
      </c>
      <c r="E1407" s="0" t="n">
        <v>643296.01</v>
      </c>
    </row>
    <row r="1408" customFormat="false" ht="15" hidden="false" customHeight="false" outlineLevel="0" collapsed="false">
      <c r="A1408" s="0" t="s">
        <v>1462</v>
      </c>
      <c r="B1408" s="0" t="s">
        <v>49</v>
      </c>
      <c r="C1408" s="0" t="s">
        <v>53</v>
      </c>
      <c r="D1408" s="0" t="n">
        <v>74</v>
      </c>
      <c r="E1408" s="0" t="n">
        <v>1059716.4</v>
      </c>
    </row>
    <row r="1409" customFormat="false" ht="15" hidden="false" customHeight="false" outlineLevel="0" collapsed="false">
      <c r="A1409" s="0" t="s">
        <v>1463</v>
      </c>
      <c r="B1409" s="0" t="s">
        <v>49</v>
      </c>
      <c r="C1409" s="0" t="s">
        <v>37</v>
      </c>
      <c r="D1409" s="0" t="n">
        <v>74</v>
      </c>
      <c r="E1409" s="0" t="n">
        <v>754265.23</v>
      </c>
    </row>
    <row r="1410" customFormat="false" ht="15" hidden="false" customHeight="false" outlineLevel="0" collapsed="false">
      <c r="A1410" s="0" t="s">
        <v>1464</v>
      </c>
      <c r="B1410" s="0" t="s">
        <v>36</v>
      </c>
      <c r="C1410" s="0" t="s">
        <v>44</v>
      </c>
      <c r="D1410" s="0" t="n">
        <v>81</v>
      </c>
      <c r="E1410" s="0" t="n">
        <v>769748.23</v>
      </c>
    </row>
    <row r="1411" customFormat="false" ht="15" hidden="false" customHeight="false" outlineLevel="0" collapsed="false">
      <c r="A1411" s="0" t="s">
        <v>1465</v>
      </c>
      <c r="B1411" s="0" t="s">
        <v>49</v>
      </c>
      <c r="C1411" s="0" t="s">
        <v>68</v>
      </c>
      <c r="D1411" s="0" t="n">
        <v>34</v>
      </c>
      <c r="E1411" s="0" t="n">
        <v>505412.4</v>
      </c>
    </row>
    <row r="1412" customFormat="false" ht="15" hidden="false" customHeight="false" outlineLevel="0" collapsed="false">
      <c r="A1412" s="0" t="s">
        <v>1466</v>
      </c>
      <c r="B1412" s="0" t="s">
        <v>66</v>
      </c>
      <c r="C1412" s="0" t="s">
        <v>53</v>
      </c>
      <c r="D1412" s="0" t="n">
        <v>84</v>
      </c>
      <c r="E1412" s="0" t="n">
        <v>2528800.52</v>
      </c>
    </row>
    <row r="1413" customFormat="false" ht="15" hidden="false" customHeight="false" outlineLevel="0" collapsed="false">
      <c r="A1413" s="0" t="s">
        <v>1467</v>
      </c>
      <c r="B1413" s="0" t="s">
        <v>49</v>
      </c>
      <c r="C1413" s="0" t="s">
        <v>44</v>
      </c>
      <c r="D1413" s="0" t="n">
        <v>41</v>
      </c>
      <c r="E1413" s="0" t="n">
        <v>884804.23</v>
      </c>
    </row>
    <row r="1414" customFormat="false" ht="15" hidden="false" customHeight="false" outlineLevel="0" collapsed="false">
      <c r="A1414" s="0" t="s">
        <v>1468</v>
      </c>
      <c r="B1414" s="0" t="s">
        <v>49</v>
      </c>
      <c r="C1414" s="0" t="s">
        <v>37</v>
      </c>
      <c r="D1414" s="0" t="n">
        <v>49</v>
      </c>
      <c r="E1414" s="0" t="n">
        <v>594212.51</v>
      </c>
    </row>
    <row r="1415" customFormat="false" ht="15" hidden="false" customHeight="false" outlineLevel="0" collapsed="false">
      <c r="A1415" s="0" t="s">
        <v>1469</v>
      </c>
      <c r="B1415" s="0" t="s">
        <v>40</v>
      </c>
      <c r="C1415" s="0" t="s">
        <v>53</v>
      </c>
      <c r="D1415" s="0" t="n">
        <v>84</v>
      </c>
      <c r="E1415" s="0" t="n">
        <v>1151810.97</v>
      </c>
    </row>
    <row r="1416" customFormat="false" ht="15" hidden="false" customHeight="false" outlineLevel="0" collapsed="false">
      <c r="A1416" s="0" t="s">
        <v>1470</v>
      </c>
      <c r="B1416" s="0" t="s">
        <v>49</v>
      </c>
      <c r="C1416" s="0" t="s">
        <v>76</v>
      </c>
      <c r="D1416" s="0" t="n">
        <v>43</v>
      </c>
      <c r="E1416" s="0" t="n">
        <v>432264.42</v>
      </c>
    </row>
    <row r="1417" customFormat="false" ht="15" hidden="false" customHeight="false" outlineLevel="0" collapsed="false">
      <c r="A1417" s="0" t="s">
        <v>1471</v>
      </c>
      <c r="B1417" s="0" t="s">
        <v>40</v>
      </c>
      <c r="C1417" s="0" t="s">
        <v>64</v>
      </c>
      <c r="D1417" s="0" t="n">
        <v>14</v>
      </c>
      <c r="E1417" s="0" t="n">
        <v>1104452.3</v>
      </c>
    </row>
    <row r="1418" customFormat="false" ht="15" hidden="false" customHeight="false" outlineLevel="0" collapsed="false">
      <c r="A1418" s="0" t="s">
        <v>1472</v>
      </c>
      <c r="B1418" s="0" t="s">
        <v>36</v>
      </c>
      <c r="C1418" s="0" t="s">
        <v>81</v>
      </c>
      <c r="D1418" s="0" t="n">
        <v>50</v>
      </c>
      <c r="E1418" s="0" t="n">
        <v>752089.64</v>
      </c>
    </row>
    <row r="1419" customFormat="false" ht="15" hidden="false" customHeight="false" outlineLevel="0" collapsed="false">
      <c r="A1419" s="0" t="s">
        <v>1473</v>
      </c>
      <c r="B1419" s="0" t="s">
        <v>40</v>
      </c>
      <c r="C1419" s="0" t="s">
        <v>41</v>
      </c>
      <c r="D1419" s="0" t="n">
        <v>55</v>
      </c>
      <c r="E1419" s="0" t="n">
        <v>1075041.97</v>
      </c>
    </row>
    <row r="1420" customFormat="false" ht="15" hidden="false" customHeight="false" outlineLevel="0" collapsed="false">
      <c r="A1420" s="0" t="s">
        <v>1474</v>
      </c>
      <c r="B1420" s="0" t="s">
        <v>36</v>
      </c>
      <c r="C1420" s="0" t="s">
        <v>76</v>
      </c>
      <c r="D1420" s="0" t="n">
        <v>65</v>
      </c>
      <c r="E1420" s="0" t="n">
        <v>607663.39</v>
      </c>
    </row>
    <row r="1421" customFormat="false" ht="15" hidden="false" customHeight="false" outlineLevel="0" collapsed="false">
      <c r="A1421" s="0" t="s">
        <v>1475</v>
      </c>
      <c r="B1421" s="0" t="s">
        <v>40</v>
      </c>
      <c r="C1421" s="0" t="s">
        <v>53</v>
      </c>
      <c r="D1421" s="0" t="n">
        <v>22</v>
      </c>
      <c r="E1421" s="0" t="n">
        <v>963203.66</v>
      </c>
    </row>
    <row r="1422" customFormat="false" ht="15" hidden="false" customHeight="false" outlineLevel="0" collapsed="false">
      <c r="A1422" s="0" t="s">
        <v>1476</v>
      </c>
      <c r="B1422" s="0" t="s">
        <v>36</v>
      </c>
      <c r="C1422" s="0" t="s">
        <v>53</v>
      </c>
      <c r="D1422" s="0" t="n">
        <v>78</v>
      </c>
      <c r="E1422" s="0" t="n">
        <v>502841.52</v>
      </c>
    </row>
    <row r="1423" customFormat="false" ht="15" hidden="false" customHeight="false" outlineLevel="0" collapsed="false">
      <c r="A1423" s="0" t="s">
        <v>1477</v>
      </c>
      <c r="B1423" s="0" t="s">
        <v>49</v>
      </c>
      <c r="C1423" s="0" t="s">
        <v>68</v>
      </c>
      <c r="D1423" s="0" t="n">
        <v>80</v>
      </c>
      <c r="E1423" s="0" t="n">
        <v>900139.46</v>
      </c>
    </row>
    <row r="1424" customFormat="false" ht="15" hidden="false" customHeight="false" outlineLevel="0" collapsed="false">
      <c r="A1424" s="0" t="s">
        <v>1478</v>
      </c>
      <c r="B1424" s="0" t="s">
        <v>49</v>
      </c>
      <c r="C1424" s="0" t="s">
        <v>53</v>
      </c>
      <c r="D1424" s="0" t="n">
        <v>32</v>
      </c>
      <c r="E1424" s="0" t="n">
        <v>648287.25</v>
      </c>
    </row>
    <row r="1425" customFormat="false" ht="15" hidden="false" customHeight="false" outlineLevel="0" collapsed="false">
      <c r="A1425" s="0" t="s">
        <v>1479</v>
      </c>
      <c r="B1425" s="0" t="s">
        <v>36</v>
      </c>
      <c r="C1425" s="0" t="s">
        <v>37</v>
      </c>
      <c r="D1425" s="0" t="n">
        <v>73</v>
      </c>
      <c r="E1425" s="0" t="n">
        <v>741980.41</v>
      </c>
    </row>
    <row r="1426" customFormat="false" ht="15" hidden="false" customHeight="false" outlineLevel="0" collapsed="false">
      <c r="A1426" s="0" t="s">
        <v>1480</v>
      </c>
      <c r="B1426" s="0" t="s">
        <v>49</v>
      </c>
      <c r="C1426" s="0" t="s">
        <v>41</v>
      </c>
      <c r="D1426" s="0" t="n">
        <v>54</v>
      </c>
      <c r="E1426" s="0" t="n">
        <v>576814.53</v>
      </c>
    </row>
    <row r="1427" customFormat="false" ht="15" hidden="false" customHeight="false" outlineLevel="0" collapsed="false">
      <c r="A1427" s="0" t="s">
        <v>1481</v>
      </c>
      <c r="B1427" s="0" t="s">
        <v>49</v>
      </c>
      <c r="C1427" s="0" t="s">
        <v>50</v>
      </c>
      <c r="D1427" s="0" t="n">
        <v>80</v>
      </c>
      <c r="E1427" s="0" t="n">
        <v>602481.45</v>
      </c>
    </row>
    <row r="1428" customFormat="false" ht="15" hidden="false" customHeight="false" outlineLevel="0" collapsed="false">
      <c r="A1428" s="0" t="s">
        <v>1482</v>
      </c>
      <c r="B1428" s="0" t="s">
        <v>49</v>
      </c>
      <c r="C1428" s="0" t="s">
        <v>81</v>
      </c>
      <c r="D1428" s="0" t="n">
        <v>60</v>
      </c>
      <c r="E1428" s="0" t="n">
        <v>556595.19</v>
      </c>
    </row>
    <row r="1429" customFormat="false" ht="15" hidden="false" customHeight="false" outlineLevel="0" collapsed="false">
      <c r="A1429" s="0" t="s">
        <v>1483</v>
      </c>
      <c r="B1429" s="0" t="s">
        <v>36</v>
      </c>
      <c r="C1429" s="0" t="s">
        <v>41</v>
      </c>
      <c r="D1429" s="0" t="n">
        <v>24</v>
      </c>
      <c r="E1429" s="0" t="n">
        <v>685164.93</v>
      </c>
    </row>
    <row r="1430" customFormat="false" ht="15" hidden="false" customHeight="false" outlineLevel="0" collapsed="false">
      <c r="A1430" s="0" t="s">
        <v>1484</v>
      </c>
      <c r="B1430" s="0" t="s">
        <v>49</v>
      </c>
      <c r="C1430" s="0" t="s">
        <v>41</v>
      </c>
      <c r="D1430" s="0" t="n">
        <v>11</v>
      </c>
      <c r="E1430" s="0" t="n">
        <v>776245.94</v>
      </c>
    </row>
    <row r="1431" customFormat="false" ht="15" hidden="false" customHeight="false" outlineLevel="0" collapsed="false">
      <c r="A1431" s="0" t="s">
        <v>1485</v>
      </c>
      <c r="B1431" s="0" t="s">
        <v>36</v>
      </c>
      <c r="C1431" s="0" t="s">
        <v>44</v>
      </c>
      <c r="D1431" s="0" t="n">
        <v>89</v>
      </c>
      <c r="E1431" s="0" t="n">
        <v>362282.78</v>
      </c>
    </row>
    <row r="1432" customFormat="false" ht="15" hidden="false" customHeight="false" outlineLevel="0" collapsed="false">
      <c r="A1432" s="0" t="s">
        <v>1486</v>
      </c>
      <c r="B1432" s="0" t="s">
        <v>40</v>
      </c>
      <c r="C1432" s="0" t="s">
        <v>50</v>
      </c>
      <c r="D1432" s="0" t="n">
        <v>25</v>
      </c>
      <c r="E1432" s="0" t="n">
        <v>1515839.49</v>
      </c>
    </row>
    <row r="1433" customFormat="false" ht="15" hidden="false" customHeight="false" outlineLevel="0" collapsed="false">
      <c r="A1433" s="0" t="s">
        <v>1487</v>
      </c>
      <c r="B1433" s="0" t="s">
        <v>36</v>
      </c>
      <c r="C1433" s="0" t="s">
        <v>89</v>
      </c>
      <c r="D1433" s="0" t="n">
        <v>33</v>
      </c>
      <c r="E1433" s="0" t="n">
        <v>493718.16</v>
      </c>
    </row>
    <row r="1434" customFormat="false" ht="15" hidden="false" customHeight="false" outlineLevel="0" collapsed="false">
      <c r="A1434" s="0" t="s">
        <v>1488</v>
      </c>
      <c r="B1434" s="0" t="s">
        <v>40</v>
      </c>
      <c r="C1434" s="0" t="s">
        <v>41</v>
      </c>
      <c r="D1434" s="0" t="n">
        <v>27</v>
      </c>
      <c r="E1434" s="0" t="n">
        <v>1862705.06</v>
      </c>
    </row>
    <row r="1435" customFormat="false" ht="15" hidden="false" customHeight="false" outlineLevel="0" collapsed="false">
      <c r="A1435" s="0" t="s">
        <v>1489</v>
      </c>
      <c r="B1435" s="0" t="s">
        <v>49</v>
      </c>
      <c r="C1435" s="0" t="s">
        <v>53</v>
      </c>
      <c r="D1435" s="0" t="n">
        <v>71</v>
      </c>
      <c r="E1435" s="0" t="n">
        <v>947716.57</v>
      </c>
    </row>
    <row r="1436" customFormat="false" ht="15" hidden="false" customHeight="false" outlineLevel="0" collapsed="false">
      <c r="A1436" s="0" t="s">
        <v>1490</v>
      </c>
      <c r="B1436" s="0" t="s">
        <v>36</v>
      </c>
      <c r="C1436" s="0" t="s">
        <v>53</v>
      </c>
      <c r="D1436" s="0" t="n">
        <v>28</v>
      </c>
      <c r="E1436" s="0" t="n">
        <v>305420.33</v>
      </c>
    </row>
    <row r="1437" customFormat="false" ht="15" hidden="false" customHeight="false" outlineLevel="0" collapsed="false">
      <c r="A1437" s="0" t="s">
        <v>1491</v>
      </c>
      <c r="B1437" s="0" t="s">
        <v>36</v>
      </c>
      <c r="C1437" s="0" t="s">
        <v>81</v>
      </c>
      <c r="D1437" s="0" t="n">
        <v>33</v>
      </c>
      <c r="E1437" s="0" t="n">
        <v>314210.33</v>
      </c>
    </row>
    <row r="1438" customFormat="false" ht="15" hidden="false" customHeight="false" outlineLevel="0" collapsed="false">
      <c r="A1438" s="0" t="s">
        <v>1492</v>
      </c>
      <c r="B1438" s="0" t="s">
        <v>49</v>
      </c>
      <c r="C1438" s="0" t="s">
        <v>41</v>
      </c>
      <c r="D1438" s="0" t="n">
        <v>4</v>
      </c>
      <c r="E1438" s="0" t="n">
        <v>991921.85</v>
      </c>
    </row>
    <row r="1439" customFormat="false" ht="15" hidden="false" customHeight="false" outlineLevel="0" collapsed="false">
      <c r="A1439" s="0" t="s">
        <v>1493</v>
      </c>
      <c r="B1439" s="0" t="s">
        <v>36</v>
      </c>
      <c r="C1439" s="0" t="s">
        <v>37</v>
      </c>
      <c r="D1439" s="0" t="n">
        <v>21</v>
      </c>
      <c r="E1439" s="0" t="n">
        <v>427308.87</v>
      </c>
    </row>
    <row r="1440" customFormat="false" ht="15" hidden="false" customHeight="false" outlineLevel="0" collapsed="false">
      <c r="A1440" s="0" t="s">
        <v>1494</v>
      </c>
      <c r="B1440" s="0" t="s">
        <v>49</v>
      </c>
      <c r="C1440" s="0" t="s">
        <v>44</v>
      </c>
      <c r="D1440" s="0" t="n">
        <v>18</v>
      </c>
      <c r="E1440" s="0" t="n">
        <v>578129.59</v>
      </c>
    </row>
    <row r="1441" customFormat="false" ht="15" hidden="false" customHeight="false" outlineLevel="0" collapsed="false">
      <c r="A1441" s="0" t="s">
        <v>1495</v>
      </c>
      <c r="B1441" s="0" t="s">
        <v>36</v>
      </c>
      <c r="C1441" s="0" t="s">
        <v>76</v>
      </c>
      <c r="D1441" s="0" t="n">
        <v>43</v>
      </c>
      <c r="E1441" s="0" t="n">
        <v>628726.55</v>
      </c>
    </row>
    <row r="1442" customFormat="false" ht="15" hidden="false" customHeight="false" outlineLevel="0" collapsed="false">
      <c r="A1442" s="0" t="s">
        <v>1496</v>
      </c>
      <c r="B1442" s="0" t="s">
        <v>36</v>
      </c>
      <c r="C1442" s="0" t="s">
        <v>44</v>
      </c>
      <c r="D1442" s="0" t="n">
        <v>49</v>
      </c>
      <c r="E1442" s="0" t="n">
        <v>478757.81</v>
      </c>
    </row>
    <row r="1443" customFormat="false" ht="15" hidden="false" customHeight="false" outlineLevel="0" collapsed="false">
      <c r="A1443" s="0" t="s">
        <v>1497</v>
      </c>
      <c r="B1443" s="0" t="s">
        <v>36</v>
      </c>
      <c r="C1443" s="0" t="s">
        <v>64</v>
      </c>
      <c r="D1443" s="0" t="n">
        <v>84</v>
      </c>
      <c r="E1443" s="0" t="n">
        <v>760525.28</v>
      </c>
    </row>
    <row r="1444" customFormat="false" ht="15" hidden="false" customHeight="false" outlineLevel="0" collapsed="false">
      <c r="A1444" s="0" t="s">
        <v>1498</v>
      </c>
      <c r="B1444" s="0" t="s">
        <v>36</v>
      </c>
      <c r="C1444" s="0" t="s">
        <v>81</v>
      </c>
      <c r="D1444" s="0" t="n">
        <v>55</v>
      </c>
      <c r="E1444" s="0" t="n">
        <v>383265.31</v>
      </c>
    </row>
    <row r="1445" customFormat="false" ht="15" hidden="false" customHeight="false" outlineLevel="0" collapsed="false">
      <c r="A1445" s="0" t="s">
        <v>1499</v>
      </c>
      <c r="B1445" s="0" t="s">
        <v>66</v>
      </c>
      <c r="C1445" s="0" t="s">
        <v>64</v>
      </c>
      <c r="D1445" s="0" t="n">
        <v>80</v>
      </c>
      <c r="E1445" s="0" t="n">
        <v>2482164.24</v>
      </c>
    </row>
    <row r="1446" customFormat="false" ht="15" hidden="false" customHeight="false" outlineLevel="0" collapsed="false">
      <c r="A1446" s="0" t="s">
        <v>1500</v>
      </c>
      <c r="B1446" s="0" t="s">
        <v>49</v>
      </c>
      <c r="C1446" s="0" t="s">
        <v>53</v>
      </c>
      <c r="D1446" s="0" t="n">
        <v>71</v>
      </c>
      <c r="E1446" s="0" t="n">
        <v>825697.96</v>
      </c>
    </row>
    <row r="1447" customFormat="false" ht="15" hidden="false" customHeight="false" outlineLevel="0" collapsed="false">
      <c r="A1447" s="0" t="s">
        <v>1501</v>
      </c>
      <c r="B1447" s="0" t="s">
        <v>36</v>
      </c>
      <c r="C1447" s="0" t="s">
        <v>44</v>
      </c>
      <c r="D1447" s="0" t="n">
        <v>5</v>
      </c>
      <c r="E1447" s="0" t="n">
        <v>301575.34</v>
      </c>
    </row>
    <row r="1448" customFormat="false" ht="15" hidden="false" customHeight="false" outlineLevel="0" collapsed="false">
      <c r="A1448" s="0" t="s">
        <v>1502</v>
      </c>
      <c r="B1448" s="0" t="s">
        <v>49</v>
      </c>
      <c r="C1448" s="0" t="s">
        <v>37</v>
      </c>
      <c r="D1448" s="0" t="n">
        <v>79</v>
      </c>
      <c r="E1448" s="0" t="n">
        <v>642942.49</v>
      </c>
    </row>
    <row r="1449" customFormat="false" ht="15" hidden="false" customHeight="false" outlineLevel="0" collapsed="false">
      <c r="A1449" s="0" t="s">
        <v>1503</v>
      </c>
      <c r="B1449" s="0" t="s">
        <v>36</v>
      </c>
      <c r="C1449" s="0" t="s">
        <v>44</v>
      </c>
      <c r="D1449" s="0" t="n">
        <v>21</v>
      </c>
      <c r="E1449" s="0" t="n">
        <v>619932.1</v>
      </c>
    </row>
    <row r="1450" customFormat="false" ht="15" hidden="false" customHeight="false" outlineLevel="0" collapsed="false">
      <c r="A1450" s="0" t="s">
        <v>1504</v>
      </c>
      <c r="B1450" s="0" t="s">
        <v>40</v>
      </c>
      <c r="C1450" s="0" t="s">
        <v>50</v>
      </c>
      <c r="D1450" s="0" t="n">
        <v>49</v>
      </c>
      <c r="E1450" s="0" t="n">
        <v>1936654.14</v>
      </c>
    </row>
    <row r="1451" customFormat="false" ht="15" hidden="false" customHeight="false" outlineLevel="0" collapsed="false">
      <c r="A1451" s="0" t="s">
        <v>1505</v>
      </c>
      <c r="B1451" s="0" t="s">
        <v>36</v>
      </c>
      <c r="C1451" s="0" t="s">
        <v>81</v>
      </c>
      <c r="D1451" s="0" t="n">
        <v>51</v>
      </c>
      <c r="E1451" s="0" t="n">
        <v>502884.75</v>
      </c>
    </row>
    <row r="1452" customFormat="false" ht="15" hidden="false" customHeight="false" outlineLevel="0" collapsed="false">
      <c r="A1452" s="0" t="s">
        <v>1506</v>
      </c>
      <c r="B1452" s="0" t="s">
        <v>49</v>
      </c>
      <c r="C1452" s="0" t="s">
        <v>50</v>
      </c>
      <c r="D1452" s="0" t="n">
        <v>70</v>
      </c>
      <c r="E1452" s="0" t="n">
        <v>445675.18</v>
      </c>
    </row>
    <row r="1453" customFormat="false" ht="15" hidden="false" customHeight="false" outlineLevel="0" collapsed="false">
      <c r="A1453" s="0" t="s">
        <v>1507</v>
      </c>
      <c r="B1453" s="0" t="s">
        <v>36</v>
      </c>
      <c r="C1453" s="0" t="s">
        <v>64</v>
      </c>
      <c r="D1453" s="0" t="n">
        <v>15</v>
      </c>
      <c r="E1453" s="0" t="n">
        <v>759939.47</v>
      </c>
    </row>
    <row r="1454" customFormat="false" ht="15" hidden="false" customHeight="false" outlineLevel="0" collapsed="false">
      <c r="A1454" s="0" t="s">
        <v>1508</v>
      </c>
      <c r="B1454" s="0" t="s">
        <v>66</v>
      </c>
      <c r="C1454" s="0" t="s">
        <v>44</v>
      </c>
      <c r="D1454" s="0" t="n">
        <v>43</v>
      </c>
      <c r="E1454" s="0" t="n">
        <v>1995889.95</v>
      </c>
    </row>
    <row r="1455" customFormat="false" ht="15" hidden="false" customHeight="false" outlineLevel="0" collapsed="false">
      <c r="A1455" s="0" t="s">
        <v>1509</v>
      </c>
      <c r="B1455" s="0" t="s">
        <v>49</v>
      </c>
      <c r="C1455" s="0" t="s">
        <v>68</v>
      </c>
      <c r="D1455" s="0" t="n">
        <v>11</v>
      </c>
      <c r="E1455" s="0" t="n">
        <v>979604.79</v>
      </c>
    </row>
    <row r="1456" customFormat="false" ht="15" hidden="false" customHeight="false" outlineLevel="0" collapsed="false">
      <c r="A1456" s="0" t="s">
        <v>1510</v>
      </c>
      <c r="B1456" s="0" t="s">
        <v>36</v>
      </c>
      <c r="C1456" s="0" t="s">
        <v>81</v>
      </c>
      <c r="D1456" s="0" t="n">
        <v>33</v>
      </c>
      <c r="E1456" s="0" t="n">
        <v>778582.22</v>
      </c>
    </row>
    <row r="1457" customFormat="false" ht="15" hidden="false" customHeight="false" outlineLevel="0" collapsed="false">
      <c r="A1457" s="0" t="s">
        <v>1511</v>
      </c>
      <c r="B1457" s="0" t="s">
        <v>36</v>
      </c>
      <c r="C1457" s="0" t="s">
        <v>44</v>
      </c>
      <c r="D1457" s="0" t="n">
        <v>69</v>
      </c>
      <c r="E1457" s="0" t="n">
        <v>662374.89</v>
      </c>
    </row>
    <row r="1458" customFormat="false" ht="15" hidden="false" customHeight="false" outlineLevel="0" collapsed="false">
      <c r="A1458" s="0" t="s">
        <v>1512</v>
      </c>
      <c r="B1458" s="0" t="s">
        <v>49</v>
      </c>
      <c r="C1458" s="0" t="s">
        <v>81</v>
      </c>
      <c r="D1458" s="0" t="n">
        <v>33</v>
      </c>
      <c r="E1458" s="0" t="n">
        <v>1135446.43</v>
      </c>
    </row>
    <row r="1459" customFormat="false" ht="15" hidden="false" customHeight="false" outlineLevel="0" collapsed="false">
      <c r="A1459" s="0" t="s">
        <v>1513</v>
      </c>
      <c r="B1459" s="0" t="s">
        <v>49</v>
      </c>
      <c r="C1459" s="0" t="s">
        <v>37</v>
      </c>
      <c r="D1459" s="0" t="n">
        <v>86</v>
      </c>
      <c r="E1459" s="0" t="n">
        <v>380054.11</v>
      </c>
    </row>
    <row r="1460" customFormat="false" ht="15" hidden="false" customHeight="false" outlineLevel="0" collapsed="false">
      <c r="A1460" s="0" t="s">
        <v>1514</v>
      </c>
      <c r="B1460" s="0" t="s">
        <v>66</v>
      </c>
      <c r="C1460" s="0" t="s">
        <v>64</v>
      </c>
      <c r="D1460" s="0" t="n">
        <v>69</v>
      </c>
      <c r="E1460" s="0" t="n">
        <v>1995108.74</v>
      </c>
    </row>
    <row r="1461" customFormat="false" ht="15" hidden="false" customHeight="false" outlineLevel="0" collapsed="false">
      <c r="A1461" s="0" t="s">
        <v>1515</v>
      </c>
      <c r="B1461" s="0" t="s">
        <v>36</v>
      </c>
      <c r="C1461" s="0" t="s">
        <v>68</v>
      </c>
      <c r="D1461" s="0" t="n">
        <v>54</v>
      </c>
      <c r="E1461" s="0" t="n">
        <v>448565</v>
      </c>
    </row>
    <row r="1462" customFormat="false" ht="15" hidden="false" customHeight="false" outlineLevel="0" collapsed="false">
      <c r="A1462" s="0" t="s">
        <v>1516</v>
      </c>
      <c r="B1462" s="0" t="s">
        <v>36</v>
      </c>
      <c r="C1462" s="0" t="s">
        <v>64</v>
      </c>
      <c r="D1462" s="0" t="n">
        <v>40</v>
      </c>
      <c r="E1462" s="0" t="n">
        <v>603443.92</v>
      </c>
    </row>
    <row r="1463" customFormat="false" ht="15" hidden="false" customHeight="false" outlineLevel="0" collapsed="false">
      <c r="A1463" s="0" t="s">
        <v>1517</v>
      </c>
      <c r="B1463" s="0" t="s">
        <v>66</v>
      </c>
      <c r="C1463" s="0" t="s">
        <v>81</v>
      </c>
      <c r="D1463" s="0" t="n">
        <v>40</v>
      </c>
      <c r="E1463" s="0" t="n">
        <v>2559993.29</v>
      </c>
    </row>
    <row r="1464" customFormat="false" ht="15" hidden="false" customHeight="false" outlineLevel="0" collapsed="false">
      <c r="A1464" s="0" t="s">
        <v>1518</v>
      </c>
      <c r="B1464" s="0" t="s">
        <v>49</v>
      </c>
      <c r="C1464" s="0" t="s">
        <v>81</v>
      </c>
      <c r="D1464" s="0" t="n">
        <v>15</v>
      </c>
      <c r="E1464" s="0" t="n">
        <v>545220.26</v>
      </c>
    </row>
    <row r="1465" customFormat="false" ht="15" hidden="false" customHeight="false" outlineLevel="0" collapsed="false">
      <c r="A1465" s="0" t="s">
        <v>1519</v>
      </c>
      <c r="B1465" s="0" t="s">
        <v>36</v>
      </c>
      <c r="C1465" s="0" t="s">
        <v>53</v>
      </c>
      <c r="D1465" s="0" t="n">
        <v>40</v>
      </c>
      <c r="E1465" s="0" t="n">
        <v>777380.42</v>
      </c>
    </row>
    <row r="1466" customFormat="false" ht="15" hidden="false" customHeight="false" outlineLevel="0" collapsed="false">
      <c r="A1466" s="0" t="s">
        <v>1520</v>
      </c>
      <c r="B1466" s="0" t="s">
        <v>49</v>
      </c>
      <c r="C1466" s="0" t="s">
        <v>50</v>
      </c>
      <c r="D1466" s="0" t="n">
        <v>92</v>
      </c>
      <c r="E1466" s="0" t="n">
        <v>895364.52</v>
      </c>
    </row>
    <row r="1467" customFormat="false" ht="15" hidden="false" customHeight="false" outlineLevel="0" collapsed="false">
      <c r="A1467" s="0" t="s">
        <v>1521</v>
      </c>
      <c r="B1467" s="0" t="s">
        <v>40</v>
      </c>
      <c r="C1467" s="0" t="s">
        <v>53</v>
      </c>
      <c r="D1467" s="0" t="n">
        <v>82</v>
      </c>
      <c r="E1467" s="0" t="n">
        <v>1963387.03</v>
      </c>
    </row>
    <row r="1468" customFormat="false" ht="15" hidden="false" customHeight="false" outlineLevel="0" collapsed="false">
      <c r="A1468" s="0" t="s">
        <v>1522</v>
      </c>
      <c r="B1468" s="0" t="s">
        <v>36</v>
      </c>
      <c r="C1468" s="0" t="s">
        <v>44</v>
      </c>
      <c r="D1468" s="0" t="n">
        <v>24</v>
      </c>
      <c r="E1468" s="0" t="n">
        <v>540081</v>
      </c>
    </row>
    <row r="1469" customFormat="false" ht="15" hidden="false" customHeight="false" outlineLevel="0" collapsed="false">
      <c r="A1469" s="0" t="s">
        <v>1523</v>
      </c>
      <c r="B1469" s="0" t="s">
        <v>49</v>
      </c>
      <c r="C1469" s="0" t="s">
        <v>53</v>
      </c>
      <c r="D1469" s="0" t="n">
        <v>65</v>
      </c>
      <c r="E1469" s="0" t="n">
        <v>837797.99</v>
      </c>
    </row>
    <row r="1470" customFormat="false" ht="15" hidden="false" customHeight="false" outlineLevel="0" collapsed="false">
      <c r="A1470" s="0" t="s">
        <v>1524</v>
      </c>
      <c r="B1470" s="0" t="s">
        <v>49</v>
      </c>
      <c r="C1470" s="0" t="s">
        <v>68</v>
      </c>
      <c r="D1470" s="0" t="n">
        <v>91</v>
      </c>
      <c r="E1470" s="0" t="n">
        <v>588626.56</v>
      </c>
    </row>
    <row r="1471" customFormat="false" ht="15" hidden="false" customHeight="false" outlineLevel="0" collapsed="false">
      <c r="A1471" s="0" t="s">
        <v>1525</v>
      </c>
      <c r="B1471" s="0" t="s">
        <v>40</v>
      </c>
      <c r="C1471" s="0" t="s">
        <v>53</v>
      </c>
      <c r="D1471" s="0" t="n">
        <v>11</v>
      </c>
      <c r="E1471" s="0" t="n">
        <v>1314752.03</v>
      </c>
    </row>
    <row r="1472" customFormat="false" ht="15" hidden="false" customHeight="false" outlineLevel="0" collapsed="false">
      <c r="A1472" s="0" t="s">
        <v>1526</v>
      </c>
      <c r="B1472" s="0" t="s">
        <v>66</v>
      </c>
      <c r="C1472" s="0" t="s">
        <v>68</v>
      </c>
      <c r="D1472" s="0" t="n">
        <v>90</v>
      </c>
      <c r="E1472" s="0" t="n">
        <v>3254926.52</v>
      </c>
    </row>
    <row r="1473" customFormat="false" ht="15" hidden="false" customHeight="false" outlineLevel="0" collapsed="false">
      <c r="A1473" s="0" t="s">
        <v>1527</v>
      </c>
      <c r="B1473" s="0" t="s">
        <v>49</v>
      </c>
      <c r="C1473" s="0" t="s">
        <v>64</v>
      </c>
      <c r="D1473" s="0" t="n">
        <v>66</v>
      </c>
      <c r="E1473" s="0" t="n">
        <v>746442.67</v>
      </c>
    </row>
    <row r="1474" customFormat="false" ht="15" hidden="false" customHeight="false" outlineLevel="0" collapsed="false">
      <c r="A1474" s="0" t="s">
        <v>1528</v>
      </c>
      <c r="B1474" s="0" t="s">
        <v>49</v>
      </c>
      <c r="C1474" s="0" t="s">
        <v>76</v>
      </c>
      <c r="D1474" s="0" t="n">
        <v>8</v>
      </c>
      <c r="E1474" s="0" t="n">
        <v>792080.53</v>
      </c>
    </row>
    <row r="1475" customFormat="false" ht="15" hidden="false" customHeight="false" outlineLevel="0" collapsed="false">
      <c r="A1475" s="0" t="s">
        <v>1529</v>
      </c>
      <c r="B1475" s="0" t="s">
        <v>36</v>
      </c>
      <c r="C1475" s="0" t="s">
        <v>44</v>
      </c>
      <c r="D1475" s="0" t="n">
        <v>27</v>
      </c>
      <c r="E1475" s="0" t="n">
        <v>855350.02</v>
      </c>
    </row>
    <row r="1476" customFormat="false" ht="15" hidden="false" customHeight="false" outlineLevel="0" collapsed="false">
      <c r="A1476" s="0" t="s">
        <v>1530</v>
      </c>
      <c r="B1476" s="0" t="s">
        <v>40</v>
      </c>
      <c r="C1476" s="0" t="s">
        <v>64</v>
      </c>
      <c r="D1476" s="0" t="n">
        <v>38</v>
      </c>
      <c r="E1476" s="0" t="n">
        <v>1487946.33</v>
      </c>
    </row>
    <row r="1477" customFormat="false" ht="15" hidden="false" customHeight="false" outlineLevel="0" collapsed="false">
      <c r="A1477" s="0" t="s">
        <v>1531</v>
      </c>
      <c r="B1477" s="0" t="s">
        <v>49</v>
      </c>
      <c r="C1477" s="0" t="s">
        <v>53</v>
      </c>
      <c r="D1477" s="0" t="n">
        <v>37</v>
      </c>
      <c r="E1477" s="0" t="n">
        <v>1094574.95</v>
      </c>
    </row>
    <row r="1478" customFormat="false" ht="15" hidden="false" customHeight="false" outlineLevel="0" collapsed="false">
      <c r="A1478" s="0" t="s">
        <v>1532</v>
      </c>
      <c r="B1478" s="0" t="s">
        <v>36</v>
      </c>
      <c r="C1478" s="0" t="s">
        <v>81</v>
      </c>
      <c r="D1478" s="0" t="n">
        <v>34</v>
      </c>
      <c r="E1478" s="0" t="n">
        <v>452735.59</v>
      </c>
    </row>
    <row r="1479" customFormat="false" ht="15" hidden="false" customHeight="false" outlineLevel="0" collapsed="false">
      <c r="A1479" s="0" t="s">
        <v>1533</v>
      </c>
      <c r="B1479" s="0" t="s">
        <v>49</v>
      </c>
      <c r="C1479" s="0" t="s">
        <v>68</v>
      </c>
      <c r="D1479" s="0" t="n">
        <v>44</v>
      </c>
      <c r="E1479" s="0" t="n">
        <v>812576.09</v>
      </c>
    </row>
    <row r="1480" customFormat="false" ht="15" hidden="false" customHeight="false" outlineLevel="0" collapsed="false">
      <c r="A1480" s="0" t="s">
        <v>1534</v>
      </c>
      <c r="B1480" s="0" t="s">
        <v>36</v>
      </c>
      <c r="C1480" s="0" t="s">
        <v>53</v>
      </c>
      <c r="D1480" s="0" t="n">
        <v>26</v>
      </c>
      <c r="E1480" s="0" t="n">
        <v>393789.54</v>
      </c>
    </row>
    <row r="1481" customFormat="false" ht="15" hidden="false" customHeight="false" outlineLevel="0" collapsed="false">
      <c r="A1481" s="0" t="s">
        <v>1535</v>
      </c>
      <c r="B1481" s="0" t="s">
        <v>40</v>
      </c>
      <c r="C1481" s="0" t="s">
        <v>44</v>
      </c>
      <c r="D1481" s="0" t="n">
        <v>15</v>
      </c>
      <c r="E1481" s="0" t="n">
        <v>689308.11</v>
      </c>
    </row>
    <row r="1482" customFormat="false" ht="15" hidden="false" customHeight="false" outlineLevel="0" collapsed="false">
      <c r="A1482" s="0" t="s">
        <v>1536</v>
      </c>
      <c r="B1482" s="0" t="s">
        <v>49</v>
      </c>
      <c r="C1482" s="0" t="s">
        <v>68</v>
      </c>
      <c r="D1482" s="0" t="n">
        <v>78</v>
      </c>
      <c r="E1482" s="0" t="n">
        <v>566507.47</v>
      </c>
    </row>
    <row r="1483" customFormat="false" ht="15" hidden="false" customHeight="false" outlineLevel="0" collapsed="false">
      <c r="A1483" s="0" t="s">
        <v>1537</v>
      </c>
      <c r="B1483" s="0" t="s">
        <v>36</v>
      </c>
      <c r="C1483" s="0" t="s">
        <v>44</v>
      </c>
      <c r="D1483" s="0" t="n">
        <v>51</v>
      </c>
      <c r="E1483" s="0" t="n">
        <v>507682.11</v>
      </c>
    </row>
    <row r="1484" customFormat="false" ht="15" hidden="false" customHeight="false" outlineLevel="0" collapsed="false">
      <c r="A1484" s="0" t="s">
        <v>1538</v>
      </c>
      <c r="B1484" s="0" t="s">
        <v>36</v>
      </c>
      <c r="C1484" s="0" t="s">
        <v>68</v>
      </c>
      <c r="D1484" s="0" t="n">
        <v>29</v>
      </c>
      <c r="E1484" s="0" t="n">
        <v>378503.45</v>
      </c>
    </row>
    <row r="1485" customFormat="false" ht="15" hidden="false" customHeight="false" outlineLevel="0" collapsed="false">
      <c r="A1485" s="0" t="s">
        <v>1539</v>
      </c>
      <c r="B1485" s="0" t="s">
        <v>36</v>
      </c>
      <c r="C1485" s="0" t="s">
        <v>53</v>
      </c>
      <c r="D1485" s="0" t="n">
        <v>11</v>
      </c>
      <c r="E1485" s="0" t="n">
        <v>437502.25</v>
      </c>
    </row>
    <row r="1486" customFormat="false" ht="15" hidden="false" customHeight="false" outlineLevel="0" collapsed="false">
      <c r="A1486" s="0" t="s">
        <v>1540</v>
      </c>
      <c r="B1486" s="0" t="s">
        <v>49</v>
      </c>
      <c r="C1486" s="0" t="s">
        <v>41</v>
      </c>
      <c r="D1486" s="0" t="n">
        <v>40</v>
      </c>
      <c r="E1486" s="0" t="n">
        <v>560142.3</v>
      </c>
    </row>
    <row r="1487" customFormat="false" ht="15" hidden="false" customHeight="false" outlineLevel="0" collapsed="false">
      <c r="A1487" s="0" t="s">
        <v>1541</v>
      </c>
      <c r="B1487" s="0" t="s">
        <v>49</v>
      </c>
      <c r="C1487" s="0" t="s">
        <v>81</v>
      </c>
      <c r="D1487" s="0" t="n">
        <v>86</v>
      </c>
      <c r="E1487" s="0" t="n">
        <v>748053.56</v>
      </c>
    </row>
    <row r="1488" customFormat="false" ht="15" hidden="false" customHeight="false" outlineLevel="0" collapsed="false">
      <c r="A1488" s="0" t="s">
        <v>1542</v>
      </c>
      <c r="B1488" s="0" t="s">
        <v>40</v>
      </c>
      <c r="C1488" s="0" t="s">
        <v>37</v>
      </c>
      <c r="D1488" s="0" t="n">
        <v>27</v>
      </c>
      <c r="E1488" s="0" t="n">
        <v>1093856.04</v>
      </c>
    </row>
    <row r="1489" customFormat="false" ht="15" hidden="false" customHeight="false" outlineLevel="0" collapsed="false">
      <c r="A1489" s="0" t="s">
        <v>1543</v>
      </c>
      <c r="B1489" s="0" t="s">
        <v>40</v>
      </c>
      <c r="C1489" s="0" t="s">
        <v>81</v>
      </c>
      <c r="D1489" s="0" t="n">
        <v>71</v>
      </c>
      <c r="E1489" s="0" t="n">
        <v>1151349.62</v>
      </c>
    </row>
    <row r="1490" customFormat="false" ht="15" hidden="false" customHeight="false" outlineLevel="0" collapsed="false">
      <c r="A1490" s="0" t="s">
        <v>1544</v>
      </c>
      <c r="B1490" s="0" t="s">
        <v>36</v>
      </c>
      <c r="C1490" s="0" t="s">
        <v>44</v>
      </c>
      <c r="D1490" s="0" t="n">
        <v>68</v>
      </c>
      <c r="E1490" s="0" t="n">
        <v>679016.35</v>
      </c>
    </row>
    <row r="1491" customFormat="false" ht="15" hidden="false" customHeight="false" outlineLevel="0" collapsed="false">
      <c r="A1491" s="0" t="s">
        <v>1545</v>
      </c>
      <c r="B1491" s="0" t="s">
        <v>49</v>
      </c>
      <c r="C1491" s="0" t="s">
        <v>53</v>
      </c>
      <c r="D1491" s="0" t="n">
        <v>70</v>
      </c>
      <c r="E1491" s="0" t="n">
        <v>748389</v>
      </c>
    </row>
    <row r="1492" customFormat="false" ht="15" hidden="false" customHeight="false" outlineLevel="0" collapsed="false">
      <c r="A1492" s="0" t="s">
        <v>1546</v>
      </c>
      <c r="B1492" s="0" t="s">
        <v>40</v>
      </c>
      <c r="C1492" s="0" t="s">
        <v>41</v>
      </c>
      <c r="D1492" s="0" t="n">
        <v>19</v>
      </c>
      <c r="E1492" s="0" t="n">
        <v>1170300.6</v>
      </c>
    </row>
    <row r="1493" customFormat="false" ht="15" hidden="false" customHeight="false" outlineLevel="0" collapsed="false">
      <c r="A1493" s="0" t="s">
        <v>1547</v>
      </c>
      <c r="B1493" s="0" t="s">
        <v>40</v>
      </c>
      <c r="C1493" s="0" t="s">
        <v>44</v>
      </c>
      <c r="D1493" s="0" t="n">
        <v>74</v>
      </c>
      <c r="E1493" s="0" t="n">
        <v>1772074.52</v>
      </c>
    </row>
    <row r="1494" customFormat="false" ht="15" hidden="false" customHeight="false" outlineLevel="0" collapsed="false">
      <c r="A1494" s="0" t="s">
        <v>1548</v>
      </c>
      <c r="B1494" s="0" t="s">
        <v>49</v>
      </c>
      <c r="C1494" s="0" t="s">
        <v>64</v>
      </c>
      <c r="D1494" s="0" t="n">
        <v>61</v>
      </c>
      <c r="E1494" s="0" t="n">
        <v>878971.22</v>
      </c>
    </row>
    <row r="1495" customFormat="false" ht="15" hidden="false" customHeight="false" outlineLevel="0" collapsed="false">
      <c r="A1495" s="0" t="s">
        <v>1549</v>
      </c>
      <c r="B1495" s="0" t="s">
        <v>36</v>
      </c>
      <c r="C1495" s="0" t="s">
        <v>64</v>
      </c>
      <c r="D1495" s="0" t="n">
        <v>73</v>
      </c>
      <c r="E1495" s="0" t="n">
        <v>603738.7</v>
      </c>
    </row>
    <row r="1496" customFormat="false" ht="15" hidden="false" customHeight="false" outlineLevel="0" collapsed="false">
      <c r="A1496" s="0" t="s">
        <v>1550</v>
      </c>
      <c r="B1496" s="0" t="s">
        <v>66</v>
      </c>
      <c r="C1496" s="0" t="s">
        <v>50</v>
      </c>
      <c r="D1496" s="0" t="n">
        <v>63</v>
      </c>
      <c r="E1496" s="0" t="n">
        <v>3067803.71</v>
      </c>
    </row>
    <row r="1497" customFormat="false" ht="15" hidden="false" customHeight="false" outlineLevel="0" collapsed="false">
      <c r="A1497" s="0" t="s">
        <v>1551</v>
      </c>
      <c r="B1497" s="0" t="s">
        <v>36</v>
      </c>
      <c r="C1497" s="0" t="s">
        <v>64</v>
      </c>
      <c r="D1497" s="0" t="n">
        <v>18</v>
      </c>
      <c r="E1497" s="0" t="n">
        <v>423328.77</v>
      </c>
    </row>
    <row r="1498" customFormat="false" ht="15" hidden="false" customHeight="false" outlineLevel="0" collapsed="false">
      <c r="A1498" s="0" t="s">
        <v>1552</v>
      </c>
      <c r="B1498" s="0" t="s">
        <v>49</v>
      </c>
      <c r="C1498" s="0" t="s">
        <v>81</v>
      </c>
      <c r="D1498" s="0" t="n">
        <v>41</v>
      </c>
      <c r="E1498" s="0" t="n">
        <v>758964.25</v>
      </c>
    </row>
    <row r="1499" customFormat="false" ht="15" hidden="false" customHeight="false" outlineLevel="0" collapsed="false">
      <c r="A1499" s="0" t="s">
        <v>1553</v>
      </c>
      <c r="B1499" s="0" t="s">
        <v>36</v>
      </c>
      <c r="C1499" s="0" t="s">
        <v>81</v>
      </c>
      <c r="D1499" s="0" t="n">
        <v>57</v>
      </c>
      <c r="E1499" s="0" t="n">
        <v>716779.22</v>
      </c>
    </row>
    <row r="1500" customFormat="false" ht="15" hidden="false" customHeight="false" outlineLevel="0" collapsed="false">
      <c r="A1500" s="0" t="s">
        <v>1554</v>
      </c>
      <c r="B1500" s="0" t="s">
        <v>36</v>
      </c>
      <c r="C1500" s="0" t="s">
        <v>53</v>
      </c>
      <c r="D1500" s="0" t="n">
        <v>10</v>
      </c>
      <c r="E1500" s="0" t="n">
        <v>783515.73</v>
      </c>
    </row>
    <row r="1501" customFormat="false" ht="15" hidden="false" customHeight="false" outlineLevel="0" collapsed="false">
      <c r="A1501" s="0" t="s">
        <v>1555</v>
      </c>
      <c r="B1501" s="0" t="s">
        <v>49</v>
      </c>
      <c r="C1501" s="0" t="s">
        <v>64</v>
      </c>
      <c r="D1501" s="0" t="n">
        <v>37</v>
      </c>
      <c r="E1501" s="0" t="n">
        <v>509026.72</v>
      </c>
    </row>
    <row r="1502" customFormat="false" ht="15" hidden="false" customHeight="false" outlineLevel="0" collapsed="false">
      <c r="A1502" s="0" t="s">
        <v>1556</v>
      </c>
      <c r="B1502" s="0" t="s">
        <v>40</v>
      </c>
      <c r="C1502" s="0" t="s">
        <v>76</v>
      </c>
      <c r="D1502" s="0" t="n">
        <v>45</v>
      </c>
      <c r="E1502" s="0" t="n">
        <v>1742827.88</v>
      </c>
    </row>
    <row r="1503" customFormat="false" ht="15" hidden="false" customHeight="false" outlineLevel="0" collapsed="false">
      <c r="A1503" s="0" t="s">
        <v>1557</v>
      </c>
      <c r="B1503" s="0" t="s">
        <v>40</v>
      </c>
      <c r="C1503" s="0" t="s">
        <v>37</v>
      </c>
      <c r="D1503" s="0" t="n">
        <v>3</v>
      </c>
      <c r="E1503" s="0" t="n">
        <v>1437810.25</v>
      </c>
    </row>
    <row r="1504" customFormat="false" ht="15" hidden="false" customHeight="false" outlineLevel="0" collapsed="false">
      <c r="A1504" s="0" t="s">
        <v>1558</v>
      </c>
      <c r="B1504" s="0" t="s">
        <v>49</v>
      </c>
      <c r="C1504" s="0" t="s">
        <v>64</v>
      </c>
      <c r="D1504" s="0" t="n">
        <v>66</v>
      </c>
      <c r="E1504" s="0" t="n">
        <v>670132.25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6FCF"/>
    <pageSetUpPr fitToPage="false"/>
  </sheetPr>
  <dimension ref="B2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4"/>
    <col collapsed="false" customWidth="true" hidden="false" outlineLevel="0" max="5" min="3" style="0" width="22"/>
  </cols>
  <sheetData>
    <row r="2" customFormat="false" ht="19.7" hidden="false" customHeight="false" outlineLevel="0" collapsed="false">
      <c r="B2" s="9" t="s">
        <v>1559</v>
      </c>
      <c r="C2" s="9"/>
      <c r="D2" s="9"/>
      <c r="E2" s="9"/>
      <c r="F2" s="9"/>
    </row>
    <row r="3" customFormat="false" ht="15" hidden="false" customHeight="false" outlineLevel="0" collapsed="false">
      <c r="B3" s="10" t="s">
        <v>1560</v>
      </c>
      <c r="C3" s="10"/>
      <c r="D3" s="10"/>
      <c r="E3" s="10"/>
      <c r="F3" s="10"/>
    </row>
    <row r="5" customFormat="false" ht="30" hidden="false" customHeight="true" outlineLevel="0" collapsed="false">
      <c r="B5" s="11" t="s">
        <v>1561</v>
      </c>
      <c r="C5" s="11" t="s">
        <v>1562</v>
      </c>
      <c r="D5" s="11" t="s">
        <v>1563</v>
      </c>
      <c r="E5" s="11" t="s">
        <v>1564</v>
      </c>
    </row>
    <row r="6" customFormat="false" ht="15" hidden="false" customHeight="false" outlineLevel="0" collapsed="false">
      <c r="B6" s="12" t="s">
        <v>66</v>
      </c>
      <c r="C6" s="12" t="n">
        <f aca="false">COUNTIF(Data!$B$5:$B$1504,B6)</f>
        <v>87</v>
      </c>
      <c r="D6" s="13" t="n">
        <f aca="false">SUMIF(Data!$B$5:$B$1504,B6,Data!$E$5:$E$1504)</f>
        <v>236976294.8</v>
      </c>
      <c r="E6" s="13" t="n">
        <f aca="false">D6/C6</f>
        <v>2723865.45747126</v>
      </c>
    </row>
    <row r="7" customFormat="false" ht="15" hidden="false" customHeight="false" outlineLevel="0" collapsed="false">
      <c r="B7" s="12" t="s">
        <v>40</v>
      </c>
      <c r="C7" s="12" t="n">
        <f aca="false">COUNTIF(Data!$B$5:$B$1504,B7)</f>
        <v>298</v>
      </c>
      <c r="D7" s="13" t="n">
        <f aca="false">SUMIF(Data!$B$5:$B$1504,B7,Data!$E$5:$E$1504)</f>
        <v>419495260.37</v>
      </c>
      <c r="E7" s="13" t="n">
        <f aca="false">D7/C7</f>
        <v>1407702.21600671</v>
      </c>
    </row>
    <row r="8" customFormat="false" ht="15" hidden="false" customHeight="false" outlineLevel="0" collapsed="false">
      <c r="B8" s="12" t="s">
        <v>49</v>
      </c>
      <c r="C8" s="12" t="n">
        <f aca="false">COUNTIF(Data!$B$5:$B$1504,B8)</f>
        <v>445</v>
      </c>
      <c r="D8" s="13" t="n">
        <f aca="false">SUMIF(Data!$B$5:$B$1504,B8,Data!$E$5:$E$1504)</f>
        <v>340120581.57</v>
      </c>
      <c r="E8" s="13" t="n">
        <f aca="false">D8/C8</f>
        <v>764315.913640449</v>
      </c>
    </row>
    <row r="9" customFormat="false" ht="15" hidden="false" customHeight="false" outlineLevel="0" collapsed="false">
      <c r="B9" s="12" t="s">
        <v>36</v>
      </c>
      <c r="C9" s="12" t="n">
        <f aca="false">COUNTIF(Data!$B$5:$B$1504,B9)</f>
        <v>670</v>
      </c>
      <c r="D9" s="13" t="n">
        <f aca="false">SUMIF(Data!$B$5:$B$1504,B9,Data!$E$5:$E$1504)</f>
        <v>368422909.68</v>
      </c>
      <c r="E9" s="13" t="n">
        <f aca="false">D9/C9</f>
        <v>549884.939820896</v>
      </c>
    </row>
    <row r="10" customFormat="false" ht="15" hidden="false" customHeight="false" outlineLevel="0" collapsed="false">
      <c r="B10" s="14" t="s">
        <v>1565</v>
      </c>
      <c r="C10" s="14" t="n">
        <f aca="false">SUM(C6:C9)</f>
        <v>1500</v>
      </c>
      <c r="D10" s="15" t="n">
        <f aca="false">SUM(D6:D9)</f>
        <v>1365015046.42</v>
      </c>
    </row>
  </sheetData>
  <mergeCells count="2">
    <mergeCell ref="B2:F2"/>
    <mergeCell ref="B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B2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5" min="3" style="0" width="14"/>
  </cols>
  <sheetData>
    <row r="2" customFormat="false" ht="19.7" hidden="false" customHeight="false" outlineLevel="0" collapsed="false">
      <c r="B2" s="9" t="s">
        <v>1566</v>
      </c>
      <c r="C2" s="9"/>
      <c r="D2" s="9"/>
      <c r="E2" s="9"/>
    </row>
    <row r="3" customFormat="false" ht="15" hidden="false" customHeight="false" outlineLevel="0" collapsed="false">
      <c r="B3" s="10" t="s">
        <v>1567</v>
      </c>
      <c r="C3" s="10"/>
      <c r="D3" s="10"/>
      <c r="E3" s="10"/>
    </row>
    <row r="5" customFormat="false" ht="15" hidden="false" customHeight="false" outlineLevel="0" collapsed="false">
      <c r="B5" s="16" t="s">
        <v>1568</v>
      </c>
      <c r="C5" s="16" t="s">
        <v>1569</v>
      </c>
      <c r="D5" s="16" t="s">
        <v>1570</v>
      </c>
      <c r="E5" s="16" t="s">
        <v>1571</v>
      </c>
    </row>
    <row r="6" customFormat="false" ht="15" hidden="false" customHeight="false" outlineLevel="0" collapsed="false">
      <c r="B6" s="12" t="str">
        <f aca="false">Data!H5</f>
        <v>Dining</v>
      </c>
      <c r="C6" s="12" t="n">
        <f aca="false">Data!I5</f>
        <v>5953</v>
      </c>
      <c r="D6" s="12" t="n">
        <f aca="false">Data!J5</f>
        <v>64</v>
      </c>
      <c r="E6" s="17" t="n">
        <f aca="false">D6/C6*100</f>
        <v>1.07508819082815</v>
      </c>
    </row>
    <row r="7" customFormat="false" ht="15" hidden="false" customHeight="false" outlineLevel="0" collapsed="false">
      <c r="B7" s="12" t="str">
        <f aca="false">Data!H6</f>
        <v>Electronics</v>
      </c>
      <c r="C7" s="12" t="n">
        <f aca="false">Data!I6</f>
        <v>6049</v>
      </c>
      <c r="D7" s="12" t="n">
        <f aca="false">Data!J6</f>
        <v>73</v>
      </c>
      <c r="E7" s="17" t="n">
        <f aca="false">D7/C7*100</f>
        <v>1.20681104314763</v>
      </c>
    </row>
    <row r="8" customFormat="false" ht="15" hidden="false" customHeight="false" outlineLevel="0" collapsed="false">
      <c r="B8" s="12" t="str">
        <f aca="false">Data!H7</f>
        <v>Entertainment</v>
      </c>
      <c r="C8" s="12" t="n">
        <f aca="false">Data!I7</f>
        <v>5928</v>
      </c>
      <c r="D8" s="12" t="n">
        <f aca="false">Data!J7</f>
        <v>74</v>
      </c>
      <c r="E8" s="17" t="n">
        <f aca="false">D8/C8*100</f>
        <v>1.24831309041835</v>
      </c>
    </row>
    <row r="9" customFormat="false" ht="15" hidden="false" customHeight="false" outlineLevel="0" collapsed="false">
      <c r="B9" s="12" t="str">
        <f aca="false">Data!H8</f>
        <v>Fuel</v>
      </c>
      <c r="C9" s="12" t="n">
        <f aca="false">Data!I8</f>
        <v>5908</v>
      </c>
      <c r="D9" s="12" t="n">
        <f aca="false">Data!J8</f>
        <v>63</v>
      </c>
      <c r="E9" s="17" t="n">
        <f aca="false">D9/C9*100</f>
        <v>1.06635071090047</v>
      </c>
    </row>
    <row r="10" customFormat="false" ht="15" hidden="false" customHeight="false" outlineLevel="0" collapsed="false">
      <c r="B10" s="12" t="str">
        <f aca="false">Data!H9</f>
        <v>Grocery</v>
      </c>
      <c r="C10" s="12" t="n">
        <f aca="false">Data!I9</f>
        <v>6045</v>
      </c>
      <c r="D10" s="12" t="n">
        <f aca="false">Data!J9</f>
        <v>71</v>
      </c>
      <c r="E10" s="17" t="n">
        <f aca="false">D10/C10*100</f>
        <v>1.17452440033085</v>
      </c>
    </row>
    <row r="11" customFormat="false" ht="15" hidden="false" customHeight="false" outlineLevel="0" collapsed="false">
      <c r="B11" s="12" t="str">
        <f aca="false">Data!H10</f>
        <v>Healthcare</v>
      </c>
      <c r="C11" s="12" t="n">
        <f aca="false">Data!I10</f>
        <v>5984</v>
      </c>
      <c r="D11" s="12" t="n">
        <f aca="false">Data!J10</f>
        <v>82</v>
      </c>
      <c r="E11" s="17" t="n">
        <f aca="false">D11/C11*100</f>
        <v>1.37032085561497</v>
      </c>
    </row>
    <row r="12" customFormat="false" ht="15" hidden="false" customHeight="false" outlineLevel="0" collapsed="false">
      <c r="B12" s="12" t="str">
        <f aca="false">Data!H11</f>
        <v>Jewellery</v>
      </c>
      <c r="C12" s="12" t="n">
        <f aca="false">Data!I11</f>
        <v>5995</v>
      </c>
      <c r="D12" s="12" t="n">
        <f aca="false">Data!J11</f>
        <v>75</v>
      </c>
      <c r="E12" s="17" t="n">
        <f aca="false">D12/C12*100</f>
        <v>1.25104253544621</v>
      </c>
    </row>
    <row r="13" customFormat="false" ht="15" hidden="false" customHeight="false" outlineLevel="0" collapsed="false">
      <c r="B13" s="12" t="str">
        <f aca="false">Data!H12</f>
        <v>Online Shopping</v>
      </c>
      <c r="C13" s="12" t="n">
        <f aca="false">Data!I12</f>
        <v>6063</v>
      </c>
      <c r="D13" s="12" t="n">
        <f aca="false">Data!J12</f>
        <v>72</v>
      </c>
      <c r="E13" s="17" t="n">
        <f aca="false">D13/C13*100</f>
        <v>1.18753092528451</v>
      </c>
    </row>
    <row r="14" customFormat="false" ht="15" hidden="false" customHeight="false" outlineLevel="0" collapsed="false">
      <c r="B14" s="12" t="str">
        <f aca="false">Data!H13</f>
        <v>Travel</v>
      </c>
      <c r="C14" s="12" t="n">
        <f aca="false">Data!I13</f>
        <v>6121</v>
      </c>
      <c r="D14" s="12" t="n">
        <f aca="false">Data!J13</f>
        <v>67</v>
      </c>
      <c r="E14" s="17" t="n">
        <f aca="false">D14/C14*100</f>
        <v>1.09459238686489</v>
      </c>
    </row>
    <row r="15" customFormat="false" ht="15" hidden="false" customHeight="false" outlineLevel="0" collapsed="false">
      <c r="B15" s="12" t="str">
        <f aca="false">Data!H14</f>
        <v>Utilities</v>
      </c>
      <c r="C15" s="12" t="n">
        <f aca="false">Data!I14</f>
        <v>5954</v>
      </c>
      <c r="D15" s="12" t="n">
        <f aca="false">Data!J14</f>
        <v>61</v>
      </c>
      <c r="E15" s="17" t="n">
        <f aca="false">D15/C15*100</f>
        <v>1.02452133019819</v>
      </c>
    </row>
    <row r="17" customFormat="false" ht="15" hidden="false" customHeight="false" outlineLevel="0" collapsed="false">
      <c r="B17" s="7" t="s">
        <v>1572</v>
      </c>
      <c r="C17" s="7" t="str">
        <f aca="false">INDEX(B6:B15,MATCH(MAX(E6:E15),E6:E15,0))</f>
        <v>Healthcare</v>
      </c>
    </row>
  </sheetData>
  <mergeCells count="2">
    <mergeCell ref="B2:E2"/>
    <mergeCell ref="B3:E3"/>
  </mergeCells>
  <conditionalFormatting sqref="E6:E15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B2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7" min="4" style="0" width="15"/>
  </cols>
  <sheetData>
    <row r="2" customFormat="false" ht="19.7" hidden="false" customHeight="false" outlineLevel="0" collapsed="false">
      <c r="B2" s="9" t="s">
        <v>1573</v>
      </c>
      <c r="C2" s="9"/>
      <c r="D2" s="9"/>
      <c r="E2" s="9"/>
      <c r="F2" s="9"/>
      <c r="G2" s="9"/>
    </row>
    <row r="3" customFormat="false" ht="15" hidden="false" customHeight="false" outlineLevel="0" collapsed="false">
      <c r="B3" s="10" t="s">
        <v>1574</v>
      </c>
      <c r="C3" s="10"/>
      <c r="D3" s="10"/>
      <c r="E3" s="10"/>
      <c r="F3" s="10"/>
      <c r="G3" s="10"/>
    </row>
    <row r="5" customFormat="false" ht="25.5" hidden="false" customHeight="true" outlineLevel="0" collapsed="false">
      <c r="B5" s="11" t="s">
        <v>1575</v>
      </c>
      <c r="C5" s="11" t="s">
        <v>1561</v>
      </c>
      <c r="D5" s="11" t="s">
        <v>1576</v>
      </c>
      <c r="E5" s="11" t="s">
        <v>1577</v>
      </c>
      <c r="F5" s="11" t="s">
        <v>1578</v>
      </c>
      <c r="G5" s="11" t="s">
        <v>1579</v>
      </c>
    </row>
    <row r="6" customFormat="false" ht="15" hidden="false" customHeight="false" outlineLevel="0" collapsed="false">
      <c r="B6" s="12" t="s">
        <v>1418</v>
      </c>
      <c r="C6" s="12" t="s">
        <v>36</v>
      </c>
      <c r="D6" s="12" t="n">
        <v>-71.9</v>
      </c>
      <c r="E6" s="12" t="n">
        <v>1</v>
      </c>
      <c r="F6" s="12" t="n">
        <v>1</v>
      </c>
      <c r="G6" s="18" t="s">
        <v>1580</v>
      </c>
    </row>
    <row r="7" customFormat="false" ht="15" hidden="false" customHeight="false" outlineLevel="0" collapsed="false">
      <c r="B7" s="12" t="s">
        <v>966</v>
      </c>
      <c r="C7" s="12" t="s">
        <v>40</v>
      </c>
      <c r="D7" s="12" t="n">
        <v>-70.5</v>
      </c>
      <c r="E7" s="12" t="n">
        <v>2</v>
      </c>
      <c r="F7" s="12" t="n">
        <v>1</v>
      </c>
      <c r="G7" s="18" t="s">
        <v>1580</v>
      </c>
    </row>
    <row r="8" customFormat="false" ht="15" hidden="false" customHeight="false" outlineLevel="0" collapsed="false">
      <c r="B8" s="12" t="s">
        <v>413</v>
      </c>
      <c r="C8" s="12" t="s">
        <v>49</v>
      </c>
      <c r="D8" s="12" t="n">
        <v>-72.1</v>
      </c>
      <c r="E8" s="12" t="n">
        <v>1</v>
      </c>
      <c r="F8" s="12" t="n">
        <v>1</v>
      </c>
      <c r="G8" s="18" t="s">
        <v>1580</v>
      </c>
    </row>
    <row r="9" customFormat="false" ht="15" hidden="false" customHeight="false" outlineLevel="0" collapsed="false">
      <c r="B9" s="12" t="s">
        <v>223</v>
      </c>
      <c r="C9" s="12" t="s">
        <v>40</v>
      </c>
      <c r="D9" s="12" t="n">
        <v>-72.1</v>
      </c>
      <c r="E9" s="12" t="n">
        <v>1</v>
      </c>
      <c r="F9" s="12" t="n">
        <v>1</v>
      </c>
      <c r="G9" s="18" t="s">
        <v>1580</v>
      </c>
    </row>
    <row r="10" customFormat="false" ht="15" hidden="false" customHeight="false" outlineLevel="0" collapsed="false">
      <c r="B10" s="12" t="s">
        <v>970</v>
      </c>
      <c r="C10" s="12" t="s">
        <v>49</v>
      </c>
      <c r="D10" s="12" t="n">
        <v>-73.6</v>
      </c>
      <c r="E10" s="12" t="n">
        <v>1</v>
      </c>
      <c r="F10" s="12" t="n">
        <v>1</v>
      </c>
      <c r="G10" s="18" t="s">
        <v>1580</v>
      </c>
    </row>
    <row r="11" customFormat="false" ht="15" hidden="false" customHeight="false" outlineLevel="0" collapsed="false">
      <c r="B11" s="12" t="s">
        <v>228</v>
      </c>
      <c r="C11" s="12" t="s">
        <v>49</v>
      </c>
      <c r="D11" s="12" t="n">
        <v>-72.3</v>
      </c>
      <c r="E11" s="12" t="n">
        <v>1</v>
      </c>
      <c r="F11" s="12" t="n">
        <v>1</v>
      </c>
      <c r="G11" s="18" t="s">
        <v>1580</v>
      </c>
    </row>
    <row r="12" customFormat="false" ht="15" hidden="false" customHeight="false" outlineLevel="0" collapsed="false">
      <c r="B12" s="12" t="s">
        <v>974</v>
      </c>
      <c r="C12" s="12" t="s">
        <v>36</v>
      </c>
      <c r="D12" s="12" t="n">
        <v>-71.6</v>
      </c>
      <c r="E12" s="12" t="n">
        <v>2</v>
      </c>
      <c r="F12" s="12" t="n">
        <v>1</v>
      </c>
      <c r="G12" s="18" t="s">
        <v>1580</v>
      </c>
    </row>
    <row r="13" customFormat="false" ht="15" hidden="false" customHeight="false" outlineLevel="0" collapsed="false">
      <c r="B13" s="12" t="s">
        <v>407</v>
      </c>
      <c r="C13" s="12" t="s">
        <v>36</v>
      </c>
      <c r="D13" s="12" t="n">
        <v>-73</v>
      </c>
      <c r="E13" s="12" t="n">
        <v>1</v>
      </c>
      <c r="F13" s="12" t="n">
        <v>1</v>
      </c>
      <c r="G13" s="18" t="s">
        <v>1580</v>
      </c>
    </row>
    <row r="14" customFormat="false" ht="15" hidden="false" customHeight="false" outlineLevel="0" collapsed="false">
      <c r="B14" s="12" t="s">
        <v>722</v>
      </c>
      <c r="C14" s="12" t="s">
        <v>36</v>
      </c>
      <c r="D14" s="12" t="n">
        <v>-72.6</v>
      </c>
      <c r="E14" s="12" t="n">
        <v>1</v>
      </c>
      <c r="F14" s="12" t="n">
        <v>1</v>
      </c>
      <c r="G14" s="18" t="s">
        <v>1580</v>
      </c>
    </row>
    <row r="15" customFormat="false" ht="15" hidden="false" customHeight="false" outlineLevel="0" collapsed="false">
      <c r="B15" s="12" t="s">
        <v>1402</v>
      </c>
      <c r="C15" s="12" t="s">
        <v>36</v>
      </c>
      <c r="D15" s="12" t="n">
        <v>-74</v>
      </c>
      <c r="E15" s="12" t="n">
        <v>2</v>
      </c>
      <c r="F15" s="12" t="n">
        <v>1</v>
      </c>
      <c r="G15" s="18" t="s">
        <v>1580</v>
      </c>
    </row>
    <row r="16" customFormat="false" ht="15" hidden="false" customHeight="false" outlineLevel="0" collapsed="false">
      <c r="B16" s="12" t="s">
        <v>719</v>
      </c>
      <c r="C16" s="12" t="s">
        <v>36</v>
      </c>
      <c r="D16" s="12" t="n">
        <v>-74.6</v>
      </c>
      <c r="E16" s="12" t="n">
        <v>1</v>
      </c>
      <c r="F16" s="12" t="n">
        <v>1</v>
      </c>
      <c r="G16" s="18" t="s">
        <v>1580</v>
      </c>
    </row>
    <row r="17" customFormat="false" ht="15" hidden="false" customHeight="false" outlineLevel="0" collapsed="false">
      <c r="B17" s="12" t="s">
        <v>1256</v>
      </c>
      <c r="C17" s="12" t="s">
        <v>40</v>
      </c>
      <c r="D17" s="12" t="n">
        <v>-73.3</v>
      </c>
      <c r="E17" s="12" t="n">
        <v>1</v>
      </c>
      <c r="F17" s="12" t="n">
        <v>1</v>
      </c>
      <c r="G17" s="18" t="s">
        <v>1580</v>
      </c>
    </row>
    <row r="18" customFormat="false" ht="15" hidden="false" customHeight="false" outlineLevel="0" collapsed="false">
      <c r="B18" s="12" t="s">
        <v>1127</v>
      </c>
      <c r="C18" s="12" t="s">
        <v>36</v>
      </c>
      <c r="D18" s="12" t="n">
        <v>-71.9</v>
      </c>
      <c r="E18" s="12" t="n">
        <v>1</v>
      </c>
      <c r="F18" s="12" t="n">
        <v>1</v>
      </c>
      <c r="G18" s="18" t="s">
        <v>1580</v>
      </c>
    </row>
    <row r="19" customFormat="false" ht="15" hidden="false" customHeight="false" outlineLevel="0" collapsed="false">
      <c r="B19" s="12" t="s">
        <v>715</v>
      </c>
      <c r="C19" s="12" t="s">
        <v>36</v>
      </c>
      <c r="D19" s="12" t="n">
        <v>-71</v>
      </c>
      <c r="E19" s="12" t="n">
        <v>1</v>
      </c>
      <c r="F19" s="12" t="n">
        <v>1</v>
      </c>
      <c r="G19" s="18" t="s">
        <v>1580</v>
      </c>
    </row>
    <row r="20" customFormat="false" ht="15" hidden="false" customHeight="false" outlineLevel="0" collapsed="false">
      <c r="B20" s="12" t="s">
        <v>1089</v>
      </c>
      <c r="C20" s="12" t="s">
        <v>40</v>
      </c>
      <c r="D20" s="12" t="n">
        <v>-72.1</v>
      </c>
      <c r="E20" s="12" t="n">
        <v>1</v>
      </c>
      <c r="F20" s="12" t="n">
        <v>1</v>
      </c>
      <c r="G20" s="18" t="s">
        <v>1580</v>
      </c>
    </row>
    <row r="21" customFormat="false" ht="15" hidden="false" customHeight="false" outlineLevel="0" collapsed="false">
      <c r="B21" s="12" t="s">
        <v>1394</v>
      </c>
      <c r="C21" s="12" t="s">
        <v>36</v>
      </c>
      <c r="D21" s="12" t="n">
        <v>-71.4</v>
      </c>
      <c r="E21" s="12" t="n">
        <v>1</v>
      </c>
      <c r="F21" s="12" t="n">
        <v>1</v>
      </c>
      <c r="G21" s="18" t="s">
        <v>1580</v>
      </c>
    </row>
    <row r="22" customFormat="false" ht="15" hidden="false" customHeight="false" outlineLevel="0" collapsed="false">
      <c r="B22" s="12" t="s">
        <v>982</v>
      </c>
      <c r="C22" s="12" t="s">
        <v>36</v>
      </c>
      <c r="D22" s="12" t="n">
        <v>-71</v>
      </c>
      <c r="E22" s="12" t="n">
        <v>1</v>
      </c>
      <c r="F22" s="12" t="n">
        <v>1</v>
      </c>
      <c r="G22" s="18" t="s">
        <v>1580</v>
      </c>
    </row>
    <row r="23" customFormat="false" ht="15" hidden="false" customHeight="false" outlineLevel="0" collapsed="false">
      <c r="B23" s="12" t="s">
        <v>399</v>
      </c>
      <c r="C23" s="12" t="s">
        <v>49</v>
      </c>
      <c r="D23" s="12" t="n">
        <v>-69.8</v>
      </c>
      <c r="E23" s="12" t="n">
        <v>1</v>
      </c>
      <c r="F23" s="12" t="n">
        <v>1</v>
      </c>
      <c r="G23" s="18" t="s">
        <v>1580</v>
      </c>
    </row>
    <row r="24" customFormat="false" ht="15" hidden="false" customHeight="false" outlineLevel="0" collapsed="false">
      <c r="B24" s="12" t="s">
        <v>594</v>
      </c>
      <c r="C24" s="12" t="s">
        <v>36</v>
      </c>
      <c r="D24" s="12" t="n">
        <v>-70.8</v>
      </c>
      <c r="E24" s="12" t="n">
        <v>1</v>
      </c>
      <c r="F24" s="12" t="n">
        <v>1</v>
      </c>
      <c r="G24" s="18" t="s">
        <v>1580</v>
      </c>
    </row>
    <row r="25" customFormat="false" ht="15" hidden="false" customHeight="false" outlineLevel="0" collapsed="false">
      <c r="B25" s="12" t="s">
        <v>254</v>
      </c>
      <c r="C25" s="12" t="s">
        <v>36</v>
      </c>
      <c r="D25" s="12" t="n">
        <v>-71.4</v>
      </c>
      <c r="E25" s="12" t="n">
        <v>1</v>
      </c>
      <c r="F25" s="12" t="n">
        <v>1</v>
      </c>
      <c r="G25" s="18" t="s">
        <v>1580</v>
      </c>
    </row>
    <row r="26" customFormat="false" ht="15" hidden="false" customHeight="false" outlineLevel="0" collapsed="false">
      <c r="B26" s="12" t="s">
        <v>390</v>
      </c>
      <c r="C26" s="12" t="s">
        <v>49</v>
      </c>
      <c r="D26" s="12" t="n">
        <v>-72.6</v>
      </c>
      <c r="E26" s="12" t="n">
        <v>2</v>
      </c>
      <c r="F26" s="12" t="n">
        <v>1</v>
      </c>
      <c r="G26" s="18" t="s">
        <v>1580</v>
      </c>
    </row>
    <row r="27" customFormat="false" ht="15" hidden="false" customHeight="false" outlineLevel="0" collapsed="false">
      <c r="B27" s="12" t="s">
        <v>1379</v>
      </c>
      <c r="C27" s="12" t="s">
        <v>40</v>
      </c>
      <c r="D27" s="12" t="n">
        <v>-67.9</v>
      </c>
      <c r="E27" s="12" t="n">
        <v>1</v>
      </c>
      <c r="F27" s="12" t="n">
        <v>1</v>
      </c>
      <c r="G27" s="18" t="s">
        <v>1580</v>
      </c>
    </row>
    <row r="28" customFormat="false" ht="15" hidden="false" customHeight="false" outlineLevel="0" collapsed="false">
      <c r="B28" s="12" t="s">
        <v>603</v>
      </c>
      <c r="C28" s="12" t="s">
        <v>36</v>
      </c>
      <c r="D28" s="12" t="n">
        <v>-73.4</v>
      </c>
      <c r="E28" s="12" t="n">
        <v>1</v>
      </c>
      <c r="F28" s="12" t="n">
        <v>1</v>
      </c>
      <c r="G28" s="18" t="s">
        <v>1580</v>
      </c>
    </row>
    <row r="29" customFormat="false" ht="15" hidden="false" customHeight="false" outlineLevel="0" collapsed="false">
      <c r="B29" s="12" t="s">
        <v>260</v>
      </c>
      <c r="C29" s="12" t="s">
        <v>49</v>
      </c>
      <c r="D29" s="12" t="n">
        <v>-70.5</v>
      </c>
      <c r="E29" s="12" t="n">
        <v>1</v>
      </c>
      <c r="F29" s="12" t="n">
        <v>1</v>
      </c>
      <c r="G29" s="18" t="s">
        <v>1580</v>
      </c>
    </row>
    <row r="30" customFormat="false" ht="15" hidden="false" customHeight="false" outlineLevel="0" collapsed="false">
      <c r="B30" s="12" t="s">
        <v>384</v>
      </c>
      <c r="C30" s="12" t="s">
        <v>66</v>
      </c>
      <c r="D30" s="12" t="n">
        <v>-73.4</v>
      </c>
      <c r="E30" s="12" t="n">
        <v>1</v>
      </c>
      <c r="F30" s="12" t="n">
        <v>1</v>
      </c>
      <c r="G30" s="18" t="s">
        <v>1580</v>
      </c>
    </row>
    <row r="31" customFormat="false" ht="15" hidden="false" customHeight="false" outlineLevel="0" collapsed="false">
      <c r="B31" s="12" t="s">
        <v>1090</v>
      </c>
      <c r="C31" s="12" t="s">
        <v>49</v>
      </c>
      <c r="D31" s="12" t="n">
        <v>-74.6</v>
      </c>
      <c r="E31" s="12" t="n">
        <v>2</v>
      </c>
      <c r="F31" s="12" t="n">
        <v>1</v>
      </c>
      <c r="G31" s="18" t="s">
        <v>1580</v>
      </c>
    </row>
    <row r="32" customFormat="false" ht="15" hidden="false" customHeight="false" outlineLevel="0" collapsed="false">
      <c r="B32" s="12" t="s">
        <v>926</v>
      </c>
      <c r="C32" s="12" t="s">
        <v>36</v>
      </c>
      <c r="D32" s="12" t="n">
        <v>-72.5</v>
      </c>
      <c r="E32" s="12" t="n">
        <v>1</v>
      </c>
      <c r="F32" s="12" t="n">
        <v>1</v>
      </c>
      <c r="G32" s="18" t="s">
        <v>1580</v>
      </c>
    </row>
    <row r="33" customFormat="false" ht="15" hidden="false" customHeight="false" outlineLevel="0" collapsed="false">
      <c r="B33" s="12" t="s">
        <v>166</v>
      </c>
      <c r="C33" s="12" t="s">
        <v>36</v>
      </c>
      <c r="D33" s="12" t="n">
        <v>-74.5</v>
      </c>
      <c r="E33" s="12" t="n">
        <v>1</v>
      </c>
      <c r="F33" s="12" t="n">
        <v>1</v>
      </c>
      <c r="G33" s="18" t="s">
        <v>1580</v>
      </c>
    </row>
    <row r="34" customFormat="false" ht="15" hidden="false" customHeight="false" outlineLevel="0" collapsed="false">
      <c r="B34" s="12" t="s">
        <v>929</v>
      </c>
      <c r="C34" s="12" t="s">
        <v>49</v>
      </c>
      <c r="D34" s="12" t="n">
        <v>-72.7</v>
      </c>
      <c r="E34" s="12" t="n">
        <v>1</v>
      </c>
      <c r="F34" s="12" t="n">
        <v>1</v>
      </c>
      <c r="G34" s="18" t="s">
        <v>1580</v>
      </c>
    </row>
    <row r="35" customFormat="false" ht="15" hidden="false" customHeight="false" outlineLevel="0" collapsed="false">
      <c r="B35" s="12" t="s">
        <v>772</v>
      </c>
      <c r="C35" s="12" t="s">
        <v>49</v>
      </c>
      <c r="D35" s="12" t="n">
        <v>-72.5</v>
      </c>
      <c r="E35" s="12" t="n">
        <v>2</v>
      </c>
      <c r="F35" s="12" t="n">
        <v>1</v>
      </c>
      <c r="G35" s="18" t="s">
        <v>1580</v>
      </c>
    </row>
    <row r="37" customFormat="false" ht="15" hidden="false" customHeight="false" outlineLevel="0" collapsed="false">
      <c r="B37" s="7" t="s">
        <v>1581</v>
      </c>
      <c r="C37" s="7" t="n">
        <f aca="false">COUNTIF(G6:G35,"HIGH RISK")</f>
        <v>30</v>
      </c>
    </row>
  </sheetData>
  <mergeCells count="2">
    <mergeCell ref="B2:G2"/>
    <mergeCell ref="B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2026-10-12T10:11:10Z</dcterms:created>
  <dc:creator>openpyxl</dc:creator>
  <dc:description/>
  <dc:language>en-US</dc:language>
  <cp:lastModifiedBy/>
  <dcterms:modified xsi:type="dcterms:W3CDTF">2026-10-12T10:11:13Z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